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rinterSettings/printerSettings1.bin" ContentType="application/vnd.openxmlformats-officedocument.spreadsheetml.printerSettings"/>
  <Override PartName="/xl/printerSettings/printerSettings2.bin" ContentType="application/vnd.openxmlformats-officedocument.spreadsheetml.printerSettings"/>
  <Override PartName="/xl/comments1.xml" ContentType="application/vnd.openxmlformats-officedocument.spreadsheetml.comments+xml"/>
  <Override PartName="/xl/printerSettings/printerSettings3.bin" ContentType="application/vnd.openxmlformats-officedocument.spreadsheetml.printerSettings"/>
  <Override PartName="/xl/printerSettings/printerSettings4.bin" ContentType="application/vnd.openxmlformats-officedocument.spreadsheetml.printerSettings"/>
  <Override PartName="/xl/comments2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fajar.rudityo\Documents\ACCOUNTING SSD HDD\Report to OJK\2025\2025 LKT &amp; MKBD Audited - OJK ARIA Mar26\Sent to OJK Online ARIA 2025 XXX\LK 2025 Audited sent OJK (ARIA) XXX\"/>
    </mc:Choice>
  </mc:AlternateContent>
  <xr:revisionPtr revIDLastSave="0" documentId="13_ncr:1_{9320BBFA-CB85-4248-9BD9-801A67DC65CA}" xr6:coauthVersionLast="47" xr6:coauthVersionMax="47" xr10:uidLastSave="{00000000-0000-0000-0000-000000000000}"/>
  <bookViews>
    <workbookView xWindow="-120" yWindow="-120" windowWidth="29040" windowHeight="15720" tabRatio="895" firstSheet="3" activeTab="5" xr2:uid="{00000000-000D-0000-FFFF-FFFF00000000}"/>
  </bookViews>
  <sheets>
    <sheet name="ListOfValues" sheetId="2" state="hidden" r:id="rId1"/>
    <sheet name="Informasi" sheetId="10" r:id="rId2"/>
    <sheet name="Validasi" sheetId="4" r:id="rId3"/>
    <sheet name="Data Umum" sheetId="1" r:id="rId4"/>
    <sheet name="Laporan Posisi Keuangan" sheetId="6" r:id="rId5"/>
    <sheet name="Laporan Laba Rugi" sheetId="7" r:id="rId6"/>
    <sheet name="Laporan Arus Kas" sheetId="8" r:id="rId7"/>
    <sheet name="Laporan Perubahan Ekuitas" sheetId="9" r:id="rId8"/>
  </sheets>
  <definedNames>
    <definedName name="_xlnm._FilterDatabase" localSheetId="5" hidden="1">'Laporan Laba Rugi'!$A$15:$F$15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7" i="9" l="1"/>
  <c r="O22" i="9"/>
  <c r="E64" i="7"/>
  <c r="F64" i="7"/>
  <c r="O25" i="9" l="1"/>
  <c r="O26" i="9"/>
  <c r="G27" i="9"/>
  <c r="G25" i="9"/>
  <c r="G21" i="9"/>
  <c r="G60" i="6"/>
  <c r="H78" i="6" l="1"/>
  <c r="G78" i="6"/>
  <c r="H81" i="6"/>
  <c r="G71" i="6"/>
  <c r="E23" i="7"/>
  <c r="E22" i="7" s="1"/>
  <c r="F30" i="8"/>
  <c r="E30" i="8"/>
  <c r="F38" i="8"/>
  <c r="E38" i="8" l="1"/>
  <c r="H71" i="6" l="1"/>
  <c r="M20" i="9" l="1"/>
  <c r="G22" i="6" l="1"/>
  <c r="G25" i="6"/>
  <c r="G28" i="6"/>
  <c r="G31" i="6"/>
  <c r="G46" i="6"/>
  <c r="G49" i="6"/>
  <c r="G52" i="6"/>
  <c r="G55" i="6"/>
  <c r="G45" i="6" l="1"/>
  <c r="G70" i="6" s="1"/>
  <c r="D11" i="1" l="1"/>
  <c r="K14" i="9" l="1"/>
  <c r="J15" i="9" l="1"/>
  <c r="E24" i="9"/>
  <c r="E19" i="9"/>
  <c r="E18" i="9"/>
  <c r="E23" i="9" s="1"/>
  <c r="E28" i="9" s="1"/>
  <c r="G3" i="1" l="1"/>
  <c r="C11" i="9" l="1"/>
  <c r="C11" i="8"/>
  <c r="E15" i="8"/>
  <c r="F15" i="8"/>
  <c r="F15" i="7"/>
  <c r="E15" i="7"/>
  <c r="C11" i="7"/>
  <c r="H14" i="6"/>
  <c r="G14" i="6"/>
  <c r="D11" i="6"/>
  <c r="F69" i="7" l="1"/>
  <c r="F45" i="7"/>
  <c r="F61" i="7" s="1"/>
  <c r="F41" i="7"/>
  <c r="F38" i="7"/>
  <c r="F32" i="7"/>
  <c r="F23" i="7"/>
  <c r="F22" i="7" s="1"/>
  <c r="F18" i="7"/>
  <c r="F37" i="7" l="1"/>
  <c r="F31" i="7" s="1"/>
  <c r="F73" i="7"/>
  <c r="F17" i="7"/>
  <c r="M27" i="9"/>
  <c r="N27" i="9" s="1"/>
  <c r="M26" i="9"/>
  <c r="N26" i="9" s="1"/>
  <c r="M25" i="9"/>
  <c r="N25" i="9" s="1"/>
  <c r="P24" i="9"/>
  <c r="O24" i="9"/>
  <c r="N24" i="9"/>
  <c r="M24" i="9"/>
  <c r="L24" i="9"/>
  <c r="K24" i="9"/>
  <c r="J24" i="9"/>
  <c r="I24" i="9"/>
  <c r="H24" i="9"/>
  <c r="G24" i="9"/>
  <c r="F24" i="9"/>
  <c r="M22" i="9"/>
  <c r="N22" i="9" s="1"/>
  <c r="M21" i="9"/>
  <c r="N21" i="9" s="1"/>
  <c r="N20" i="9"/>
  <c r="P19" i="9"/>
  <c r="O19" i="9"/>
  <c r="N19" i="9"/>
  <c r="M19" i="9"/>
  <c r="L19" i="9"/>
  <c r="K19" i="9"/>
  <c r="J19" i="9"/>
  <c r="I19" i="9"/>
  <c r="H19" i="9"/>
  <c r="G19" i="9"/>
  <c r="F19" i="9"/>
  <c r="O18" i="9"/>
  <c r="O23" i="9" s="1"/>
  <c r="O28" i="9" s="1"/>
  <c r="L18" i="9"/>
  <c r="K18" i="9"/>
  <c r="K23" i="9" s="1"/>
  <c r="K28" i="9" s="1"/>
  <c r="J18" i="9"/>
  <c r="J23" i="9" s="1"/>
  <c r="J28" i="9" s="1"/>
  <c r="I18" i="9"/>
  <c r="I23" i="9" s="1"/>
  <c r="I28" i="9" s="1"/>
  <c r="H18" i="9"/>
  <c r="H23" i="9" s="1"/>
  <c r="H28" i="9" s="1"/>
  <c r="G18" i="9"/>
  <c r="G23" i="9" s="1"/>
  <c r="G28" i="9" s="1"/>
  <c r="F18" i="9"/>
  <c r="M17" i="9"/>
  <c r="M16" i="9"/>
  <c r="N16" i="9" s="1"/>
  <c r="P15" i="9"/>
  <c r="O15" i="9"/>
  <c r="N15" i="9"/>
  <c r="M15" i="9"/>
  <c r="L15" i="9"/>
  <c r="K15" i="9"/>
  <c r="I15" i="9"/>
  <c r="H15" i="9"/>
  <c r="G15" i="9"/>
  <c r="F15" i="9"/>
  <c r="E15" i="9"/>
  <c r="N14" i="9"/>
  <c r="H14" i="9"/>
  <c r="F14" i="9"/>
  <c r="E14" i="9"/>
  <c r="C7" i="9"/>
  <c r="F46" i="8"/>
  <c r="E46" i="8"/>
  <c r="F37" i="8"/>
  <c r="E37" i="8"/>
  <c r="F16" i="8"/>
  <c r="F29" i="8" s="1"/>
  <c r="E16" i="8"/>
  <c r="E14" i="8"/>
  <c r="C7" i="8"/>
  <c r="E69" i="7"/>
  <c r="E73" i="7" s="1"/>
  <c r="E45" i="7"/>
  <c r="E61" i="7" s="1"/>
  <c r="E41" i="7"/>
  <c r="E38" i="7"/>
  <c r="E32" i="7"/>
  <c r="E18" i="7"/>
  <c r="E17" i="7" s="1"/>
  <c r="E14" i="7"/>
  <c r="C7" i="7"/>
  <c r="H55" i="6"/>
  <c r="H52" i="6"/>
  <c r="H49" i="6"/>
  <c r="H46" i="6"/>
  <c r="H31" i="6"/>
  <c r="H28" i="6"/>
  <c r="H25" i="6"/>
  <c r="H22" i="6"/>
  <c r="D7" i="6"/>
  <c r="G4" i="1"/>
  <c r="D10" i="1" s="1"/>
  <c r="L23" i="9" l="1"/>
  <c r="L28" i="9" s="1"/>
  <c r="F23" i="9"/>
  <c r="F16" i="7"/>
  <c r="F44" i="7" s="1"/>
  <c r="F62" i="7" s="1"/>
  <c r="F66" i="7" s="1"/>
  <c r="F68" i="7" s="1"/>
  <c r="E47" i="8"/>
  <c r="G16" i="6"/>
  <c r="G44" i="6" s="1"/>
  <c r="H45" i="6"/>
  <c r="H70" i="6" s="1"/>
  <c r="H16" i="6"/>
  <c r="H44" i="6" s="1"/>
  <c r="M18" i="9"/>
  <c r="M23" i="9" s="1"/>
  <c r="M28" i="9" s="1"/>
  <c r="E37" i="7"/>
  <c r="E31" i="7" s="1"/>
  <c r="E16" i="7" s="1"/>
  <c r="F47" i="8"/>
  <c r="F49" i="8" s="1"/>
  <c r="E48" i="8" s="1"/>
  <c r="N17" i="9"/>
  <c r="H83" i="6"/>
  <c r="E29" i="8"/>
  <c r="F77" i="7" l="1"/>
  <c r="F76" i="7"/>
  <c r="G13" i="4"/>
  <c r="E49" i="8"/>
  <c r="G12" i="4" s="1"/>
  <c r="F83" i="7"/>
  <c r="N18" i="9"/>
  <c r="F28" i="9"/>
  <c r="F74" i="7"/>
  <c r="F81" i="7" s="1"/>
  <c r="H84" i="6"/>
  <c r="G11" i="4" s="1"/>
  <c r="E44" i="7"/>
  <c r="E62" i="7" s="1"/>
  <c r="E66" i="7" s="1"/>
  <c r="E68" i="7" s="1"/>
  <c r="E83" i="7" l="1"/>
  <c r="E77" i="7"/>
  <c r="E76" i="7"/>
  <c r="F80" i="7"/>
  <c r="F75" i="7"/>
  <c r="F78" i="7"/>
  <c r="G15" i="4" s="1"/>
  <c r="N23" i="9"/>
  <c r="P23" i="9" s="1"/>
  <c r="G19" i="4" s="1"/>
  <c r="P18" i="9"/>
  <c r="E74" i="7"/>
  <c r="E81" i="7" l="1"/>
  <c r="E80" i="7"/>
  <c r="E78" i="7"/>
  <c r="G14" i="4" s="1"/>
  <c r="E75" i="7"/>
  <c r="F82" i="7"/>
  <c r="G17" i="4" s="1"/>
  <c r="F79" i="7"/>
  <c r="N28" i="9"/>
  <c r="P28" i="9" s="1"/>
  <c r="E82" i="7" l="1"/>
  <c r="G16" i="4" s="1"/>
  <c r="E79" i="7"/>
  <c r="G81" i="6"/>
  <c r="G83" i="6" s="1"/>
  <c r="G18" i="4" l="1"/>
  <c r="G84" i="6"/>
  <c r="G10" i="4" s="1"/>
  <c r="G7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  <author>Ade Raffiq Prawira Mandiri</author>
  </authors>
  <commentList>
    <comment ref="D5" authorId="0" shapeId="0" xr:uid="{00000000-0006-0000-0200-000001000000}">
      <text>
        <r>
          <rPr>
            <sz val="11"/>
            <rFont val="Calibri"/>
            <family val="2"/>
          </rPr>
          <t>Format Tanggal: DD-MMM-YYYY</t>
        </r>
      </text>
    </comment>
    <comment ref="D6" authorId="0" shapeId="0" xr:uid="{00000000-0006-0000-0200-000002000000}">
      <text>
        <r>
          <rPr>
            <sz val="8"/>
            <color indexed="81"/>
            <rFont val="Calibri"/>
            <family val="2"/>
          </rPr>
          <t>Kode MI yang tercatat di SINVEST dan KSEI</t>
        </r>
      </text>
    </comment>
    <comment ref="D8" authorId="0" shapeId="0" xr:uid="{00000000-0006-0000-0200-000003000000}">
      <text>
        <r>
          <rPr>
            <sz val="8"/>
            <color indexed="81"/>
            <rFont val="Calibri"/>
            <family val="2"/>
          </rPr>
          <t>Sesuai Alamat Perusahaan Saat Pelaporan</t>
        </r>
      </text>
    </comment>
    <comment ref="D9" authorId="0" shapeId="0" xr:uid="{00000000-0006-0000-0200-000004000000}">
      <text>
        <r>
          <rPr>
            <sz val="11"/>
            <rFont val="Calibri"/>
            <family val="2"/>
          </rPr>
          <t>Format Tanggal: DD-MM-YYYY</t>
        </r>
      </text>
    </comment>
    <comment ref="D13" authorId="0" shapeId="0" xr:uid="{00000000-0006-0000-0200-000005000000}">
      <text>
        <r>
          <rPr>
            <sz val="8"/>
            <color indexed="81"/>
            <rFont val="Calibri"/>
            <family val="2"/>
          </rPr>
          <t>Penanggung jawab dapat diisi oleh pihak yang bertanggung jawab pada satu entitas/individu (diri sendiri)</t>
        </r>
      </text>
    </comment>
    <comment ref="D17" authorId="0" shapeId="0" xr:uid="{00000000-0006-0000-0200-000006000000}">
      <text>
        <r>
          <rPr>
            <sz val="11"/>
            <rFont val="Calibri"/>
            <family val="2"/>
          </rPr>
          <t>Nama KAP</t>
        </r>
      </text>
    </comment>
    <comment ref="D18" authorId="0" shapeId="0" xr:uid="{00000000-0006-0000-0200-000007000000}">
      <text>
        <r>
          <rPr>
            <sz val="11"/>
            <rFont val="Calibri"/>
            <family val="2"/>
          </rPr>
          <t>Mengacu data KAP pada website publikasi.ojk.go.id (contoh : KEP-586/KM.1/2007)</t>
        </r>
      </text>
    </comment>
    <comment ref="D21" authorId="1" shapeId="0" xr:uid="{494DABA8-8DDA-4995-A5C0-386918A8A4DD}">
      <text>
        <r>
          <rPr>
            <b/>
            <sz val="9"/>
            <color indexed="81"/>
            <rFont val="Tahoma"/>
            <family val="2"/>
          </rPr>
          <t>Mengacu data AP pada website publikasi.ojk.go.id (contoh : AP.1234)</t>
        </r>
      </text>
    </comment>
    <comment ref="D22" authorId="0" shapeId="0" xr:uid="{00000000-0006-0000-0200-000008000000}">
      <text>
        <r>
          <rPr>
            <b/>
            <sz val="8"/>
            <color indexed="81"/>
            <rFont val="Calibri"/>
            <family val="2"/>
          </rPr>
          <t>STTD AP di Sektor Pasar Modal. Mengacu data AP pada website publikasi.ojk.go.id (contoh : STTD.AP-123/PM.22/2018)</t>
        </r>
      </text>
    </comment>
    <comment ref="D25" authorId="0" shapeId="0" xr:uid="{00000000-0006-0000-0200-000009000000}">
      <text>
        <r>
          <rPr>
            <sz val="8"/>
            <color indexed="81"/>
            <rFont val="Calibri"/>
            <family val="2"/>
          </rPr>
          <t>diisi tanggal awal periode audit (DD-MM-YYYY)</t>
        </r>
      </text>
    </comment>
    <comment ref="D26" authorId="0" shapeId="0" xr:uid="{4E86473E-CFE0-4243-A72F-D5870070E9FC}">
      <text>
        <r>
          <rPr>
            <sz val="8"/>
            <color indexed="81"/>
            <rFont val="Calibri"/>
            <family val="2"/>
          </rPr>
          <t>diisi tanggal akhir periode audit (DD-MM-YYYY)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Ade Raffiq Prawira Mandiri</author>
  </authors>
  <commentList>
    <comment ref="I15" authorId="0" shapeId="0" xr:uid="{BEC86959-0BE4-4DBF-9DC5-9BC48C2B815C}">
      <text>
        <r>
          <rPr>
            <b/>
            <sz val="9"/>
            <color indexed="81"/>
            <rFont val="Tahoma"/>
            <family val="2"/>
          </rPr>
          <t>Ade Raffiq Prawira Mandiri:</t>
        </r>
        <r>
          <rPr>
            <sz val="9"/>
            <color indexed="81"/>
            <rFont val="Tahoma"/>
            <family val="2"/>
          </rPr>
          <t xml:space="preserve">
Kolom Baru</t>
        </r>
      </text>
    </comment>
    <comment ref="J15" authorId="0" shapeId="0" xr:uid="{56B68E04-2B95-4A2B-8D7C-CB864EBF962E}">
      <text>
        <r>
          <rPr>
            <b/>
            <sz val="9"/>
            <color indexed="81"/>
            <rFont val="Tahoma"/>
            <family val="2"/>
          </rPr>
          <t>Ade Raffiq Prawira Mandiri:</t>
        </r>
        <r>
          <rPr>
            <sz val="9"/>
            <color indexed="81"/>
            <rFont val="Tahoma"/>
            <family val="2"/>
          </rPr>
          <t xml:space="preserve">
Sama dengan kolom modal saham diperoleh kembali</t>
        </r>
      </text>
    </comment>
    <comment ref="K15" authorId="0" shapeId="0" xr:uid="{506B1E71-0C9C-41BC-97A3-0021850B424C}">
      <text>
        <r>
          <rPr>
            <b/>
            <sz val="9"/>
            <color indexed="81"/>
            <rFont val="Tahoma"/>
            <family val="2"/>
          </rPr>
          <t>Ade Raffiq Prawira Mandiri:</t>
        </r>
        <r>
          <rPr>
            <sz val="9"/>
            <color indexed="81"/>
            <rFont val="Tahoma"/>
            <family val="2"/>
          </rPr>
          <t xml:space="preserve">
Kolom Baru, sub dari M</t>
        </r>
      </text>
    </comment>
    <comment ref="L15" authorId="0" shapeId="0" xr:uid="{9B3588BC-8C1E-4A36-A827-0E2DC69E409C}">
      <text>
        <r>
          <rPr>
            <b/>
            <sz val="9"/>
            <color indexed="81"/>
            <rFont val="Tahoma"/>
            <family val="2"/>
          </rPr>
          <t>Ade Raffiq Prawira Mandiri:</t>
        </r>
        <r>
          <rPr>
            <sz val="9"/>
            <color indexed="81"/>
            <rFont val="Tahoma"/>
            <family val="2"/>
          </rPr>
          <t xml:space="preserve">
Kolom baru, sub dari M</t>
        </r>
      </text>
    </comment>
    <comment ref="M15" authorId="0" shapeId="0" xr:uid="{43F6401E-2C82-499F-B2EF-320D81089909}">
      <text>
        <r>
          <rPr>
            <b/>
            <sz val="9"/>
            <color indexed="81"/>
            <rFont val="Tahoma"/>
            <family val="2"/>
          </rPr>
          <t>Ade Raffiq Prawira Mandiri:</t>
        </r>
        <r>
          <rPr>
            <sz val="9"/>
            <color indexed="81"/>
            <rFont val="Tahoma"/>
            <family val="2"/>
          </rPr>
          <t xml:space="preserve">
sama dengan kolom "Pendapatan Komprehensif Lainnya"</t>
        </r>
      </text>
    </comment>
  </commentList>
</comments>
</file>

<file path=xl/sharedStrings.xml><?xml version="1.0" encoding="utf-8"?>
<sst xmlns="http://schemas.openxmlformats.org/spreadsheetml/2006/main" count="759" uniqueCount="595">
  <si>
    <t>Aktif</t>
  </si>
  <si>
    <t>Tahunan</t>
  </si>
  <si>
    <t>Audited</t>
  </si>
  <si>
    <t>WTP</t>
  </si>
  <si>
    <t>tahun pertama</t>
  </si>
  <si>
    <t>Tidak Aktif</t>
  </si>
  <si>
    <t>Tengah Tahunan</t>
  </si>
  <si>
    <t>Un Audited</t>
  </si>
  <si>
    <t>WTP-PP</t>
  </si>
  <si>
    <r>
      <t xml:space="preserve">tahun pertama </t>
    </r>
    <r>
      <rPr>
        <i/>
        <sz val="11"/>
        <rFont val="Calibri"/>
        <family val="2"/>
      </rPr>
      <t>(setelah cooling-off period)</t>
    </r>
  </si>
  <si>
    <t>Triwulanan</t>
  </si>
  <si>
    <t>Limited Review</t>
  </si>
  <si>
    <t>WDP</t>
  </si>
  <si>
    <t>tahun ke-2 berturut-turut</t>
  </si>
  <si>
    <t>DISCLAIMER</t>
  </si>
  <si>
    <t>tahun ke-3 berturut-turut</t>
  </si>
  <si>
    <t>ADVERSE</t>
  </si>
  <si>
    <t>lebih dari 3 tahun berturut-turut</t>
  </si>
  <si>
    <t>Petunjuk pengisian template Laporan Keuangan Manajer Investasi</t>
  </si>
  <si>
    <r>
      <t xml:space="preserve">Isi data umum perusahaan, data audit dan informasi tambahan atas Laporan Keuangan pada sheet </t>
    </r>
    <r>
      <rPr>
        <b/>
        <sz val="11"/>
        <color theme="1"/>
        <rFont val="Calibri"/>
        <family val="2"/>
        <scheme val="minor"/>
      </rPr>
      <t>Data Umum</t>
    </r>
  </si>
  <si>
    <r>
      <t xml:space="preserve">Isi informasi terkait aset, kewajiban, dan modal kerja perusahaan pada sheet </t>
    </r>
    <r>
      <rPr>
        <b/>
        <sz val="11"/>
        <color theme="1"/>
        <rFont val="Calibri"/>
        <family val="2"/>
        <scheme val="minor"/>
      </rPr>
      <t>Laporan Posisi Keuangan</t>
    </r>
    <r>
      <rPr>
        <sz val="11"/>
        <rFont val="Calibri"/>
        <family val="2"/>
      </rPr>
      <t xml:space="preserve"> (LPKMI)</t>
    </r>
  </si>
  <si>
    <r>
      <t xml:space="preserve">Jika perusahaan memiliki akun tertentu yang tidak terdapat pada pilihan di </t>
    </r>
    <r>
      <rPr>
        <b/>
        <sz val="11"/>
        <color theme="1"/>
        <rFont val="Calibri"/>
        <family val="2"/>
        <scheme val="minor"/>
      </rPr>
      <t>Laporan Posisi Keuangan</t>
    </r>
    <r>
      <rPr>
        <sz val="11"/>
        <rFont val="Calibri"/>
        <family val="2"/>
      </rPr>
      <t xml:space="preserve">, silahkan memasukkan informasi tersebut pada akun </t>
    </r>
    <r>
      <rPr>
        <b/>
        <sz val="11"/>
        <color theme="1"/>
        <rFont val="Calibri"/>
        <family val="2"/>
        <scheme val="minor"/>
      </rPr>
      <t>Lain-lain</t>
    </r>
    <r>
      <rPr>
        <sz val="11"/>
        <rFont val="Calibri"/>
        <family val="2"/>
      </rPr>
      <t>.</t>
    </r>
  </si>
  <si>
    <r>
      <t xml:space="preserve">Isi informasi terkait pendapatan dan beban pada sheet </t>
    </r>
    <r>
      <rPr>
        <b/>
        <sz val="11"/>
        <color theme="1"/>
        <rFont val="Calibri"/>
        <family val="2"/>
        <scheme val="minor"/>
      </rPr>
      <t>Laporan Laba Rugi</t>
    </r>
    <r>
      <rPr>
        <sz val="11"/>
        <rFont val="Calibri"/>
        <family val="2"/>
      </rPr>
      <t xml:space="preserve"> (LLRKMI)</t>
    </r>
  </si>
  <si>
    <r>
      <t xml:space="preserve">Akun-akun pada </t>
    </r>
    <r>
      <rPr>
        <b/>
        <sz val="11"/>
        <rFont val="Calibri"/>
        <family val="2"/>
      </rPr>
      <t>BEBAN</t>
    </r>
    <r>
      <rPr>
        <sz val="11"/>
        <rFont val="Calibri"/>
        <family val="2"/>
      </rPr>
      <t xml:space="preserve"> yang menjadi komponen dari "Total Beban" pada LLRKMI diisi dengan angka positif (tidak menambahkan tanda "-")</t>
    </r>
  </si>
  <si>
    <r>
      <t xml:space="preserve">Jika perusahaan memiliki akun tertentu yang tidak terdapat pada pilihan di </t>
    </r>
    <r>
      <rPr>
        <b/>
        <sz val="11"/>
        <color theme="1"/>
        <rFont val="Calibri"/>
        <family val="2"/>
        <scheme val="minor"/>
      </rPr>
      <t>Laporan Laba Rugi</t>
    </r>
    <r>
      <rPr>
        <sz val="11"/>
        <rFont val="Calibri"/>
        <family val="2"/>
      </rPr>
      <t xml:space="preserve">, silahkan memasukkan informasi tersebut pada akun </t>
    </r>
    <r>
      <rPr>
        <b/>
        <sz val="11"/>
        <color theme="1"/>
        <rFont val="Calibri"/>
        <family val="2"/>
        <scheme val="minor"/>
      </rPr>
      <t>Lain-lain</t>
    </r>
    <r>
      <rPr>
        <sz val="11"/>
        <rFont val="Calibri"/>
        <family val="2"/>
      </rPr>
      <t>.</t>
    </r>
  </si>
  <si>
    <r>
      <t xml:space="preserve">Isi informasi terkait perubahan ekuitas pada sheet </t>
    </r>
    <r>
      <rPr>
        <b/>
        <sz val="11"/>
        <color theme="1"/>
        <rFont val="Calibri"/>
        <family val="2"/>
        <scheme val="minor"/>
      </rPr>
      <t>Laporan Perubahan Ekuitas</t>
    </r>
  </si>
  <si>
    <r>
      <t xml:space="preserve">Isi informasi terkait perubahan ekuitas pada sheet </t>
    </r>
    <r>
      <rPr>
        <b/>
        <sz val="11"/>
        <color theme="1"/>
        <rFont val="Calibri"/>
        <family val="2"/>
        <scheme val="minor"/>
      </rPr>
      <t>Laporan Arus Kas</t>
    </r>
  </si>
  <si>
    <r>
      <t xml:space="preserve">Cek status validasi laporan pada sheet </t>
    </r>
    <r>
      <rPr>
        <b/>
        <sz val="11"/>
        <color theme="1"/>
        <rFont val="Calibri"/>
        <family val="2"/>
        <scheme val="minor"/>
      </rPr>
      <t>Validasi</t>
    </r>
  </si>
  <si>
    <t>Laporan yang dikirimkan ke Otoritas Jasa Keuangan adalah laporan dengan Status Validasi Keseluruhan = OK</t>
  </si>
  <si>
    <r>
      <t xml:space="preserve">Pengiriman Laporan Keuangan Elektronik disertai dengan pengiriman </t>
    </r>
    <r>
      <rPr>
        <i/>
        <sz val="11"/>
        <color theme="1"/>
        <rFont val="Calibri"/>
        <family val="2"/>
        <scheme val="minor"/>
      </rPr>
      <t>hardcopy</t>
    </r>
    <r>
      <rPr>
        <sz val="11"/>
        <rFont val="Calibri"/>
        <family val="2"/>
      </rPr>
      <t xml:space="preserve"> dan/atau </t>
    </r>
    <r>
      <rPr>
        <i/>
        <sz val="11"/>
        <rFont val="Calibri"/>
        <family val="2"/>
      </rPr>
      <t>mailingroom</t>
    </r>
    <r>
      <rPr>
        <sz val="11"/>
        <rFont val="Calibri"/>
        <family val="2"/>
      </rPr>
      <t xml:space="preserve"> OJK</t>
    </r>
  </si>
  <si>
    <t xml:space="preserve">Status Validasi Laporan Secara Keseluruhan: </t>
  </si>
  <si>
    <t>No</t>
  </si>
  <si>
    <t>Sheet</t>
  </si>
  <si>
    <t>Keterangan</t>
  </si>
  <si>
    <t>Formula</t>
  </si>
  <si>
    <t>Status</t>
  </si>
  <si>
    <t>LPKMI</t>
  </si>
  <si>
    <t>Pada Laporan Posisi Keuangan, Jumlah Aset tahun berjalan harus sama dengan Jumlah Liabilitas + Jumlah Ekuitas</t>
  </si>
  <si>
    <t>LPKMIG44=LPKMI!G84</t>
  </si>
  <si>
    <t>Pada Laporan Posisi Keuangan, Jumlah Aset tahun sebelumnya harus sama dengan Jumlah Liabilitas + Jumlah Ekuitas</t>
  </si>
  <si>
    <t>LPKMIH44=LPKMI!H84</t>
  </si>
  <si>
    <t>LAKMI-LPKMI</t>
  </si>
  <si>
    <t>Kas dan Setara Kas Akhir Periode Berjalan harus sama dengan Kas dan Setara Kas pada Laporan Posisi Keuangan Periode berjalan</t>
  </si>
  <si>
    <t>LAKMI!E49=lpkmi!G17+lpkmi!G18</t>
  </si>
  <si>
    <t>Kas dan Setara Kas Akhir Periode Sebelumnya harus sama dengan Kas dan Setara Kas pada Laporan Posisi Keuangan Periode Sebelumnya</t>
  </si>
  <si>
    <t>LAKMI!F49=lpkmi!H17+lpkmi!H18</t>
  </si>
  <si>
    <t>LLRKMI</t>
  </si>
  <si>
    <t>Pada Laporan Laba Rugi, Laba Rugi Periode Berjalan harus sama dengan Total Laba Rugi yang dapat Diatribusikan</t>
  </si>
  <si>
    <t>LLRKMI!E68=LLRKMI!E78</t>
  </si>
  <si>
    <t>Pada Laporan Laba Rugi, Laba Rugi Periode Sebelumnya harus sama dengan Total Laba Rugi yang dapat Diatribusikan Periode Sebelumnya</t>
  </si>
  <si>
    <t>LLRKMI!F68=LLRKMI!F78</t>
  </si>
  <si>
    <t>Pada Laporan Laba Rugi, Penghasilan Komprehensif harus sama dengan Total Penghasilan Komprehensif yang dapat Diatribusikan</t>
  </si>
  <si>
    <t>LLRKMI!E74=LLRKMI!E82</t>
  </si>
  <si>
    <t>Pada Laporan Laba Rugi, Penghasilan Komprehensif periode sebelumnya harus sama dengan Total Penghasilan Komprehensif yang dapat Diatribusikan</t>
  </si>
  <si>
    <t>LLRKMI!F74=LLRKMI!F82</t>
  </si>
  <si>
    <t>LPEMI-LPKMI</t>
  </si>
  <si>
    <t>Jumlah Ekuitas pada Laporan Posisi Keuangan harus sama dengan Jumlah Ekuitas pada Laporan Perubahan Ekuitas</t>
  </si>
  <si>
    <t>LPKMI!G83=LPEMI!P28</t>
  </si>
  <si>
    <t>Jumlah Ekuitas pada Laporan Posisi Keuangan Peridode Sebelumnya harus sama dengan Jumlah Ekuitas pada Laporan Perubahan Ekuitas</t>
  </si>
  <si>
    <t>LPKMI!H83=LPEMI!P23</t>
  </si>
  <si>
    <t>T</t>
  </si>
  <si>
    <t>LKTPA</t>
  </si>
  <si>
    <t>Data Umum</t>
  </si>
  <si>
    <t>Januari</t>
  </si>
  <si>
    <t>Februari</t>
  </si>
  <si>
    <t>LKT01DTU0001</t>
  </si>
  <si>
    <t>Tanggal Pelaporan</t>
  </si>
  <si>
    <t>Maret</t>
  </si>
  <si>
    <t>LKT01DTU0002</t>
  </si>
  <si>
    <t>Kode Perusahaan / Pihak</t>
  </si>
  <si>
    <t>CC002</t>
  </si>
  <si>
    <t>April</t>
  </si>
  <si>
    <t>LKT01DTU0003</t>
  </si>
  <si>
    <t>Nama Perusahaan / Pihak</t>
  </si>
  <si>
    <t>PT MANDIRI MANAJEMEN INVESTASI</t>
  </si>
  <si>
    <t>Mei</t>
  </si>
  <si>
    <t>LKT01DTU0004</t>
  </si>
  <si>
    <t>Alamat Perusahaan / Pihak</t>
  </si>
  <si>
    <t>MENARA MANDIRI 2 LT. 15, JL. JEND SUDIRMAN KAV 54-55, JAKARTA</t>
  </si>
  <si>
    <t>Juni</t>
  </si>
  <si>
    <t>LKT01DTU0005</t>
  </si>
  <si>
    <t>Periode Pelaporan</t>
  </si>
  <si>
    <t>September</t>
  </si>
  <si>
    <t>LKT01DTU0006</t>
  </si>
  <si>
    <t>Bulan Pelaporan</t>
  </si>
  <si>
    <t>Oktober</t>
  </si>
  <si>
    <t>LKT01DTU0007</t>
  </si>
  <si>
    <t>Tahun Fiskal</t>
  </si>
  <si>
    <t>November</t>
  </si>
  <si>
    <t>LKT01DTU0008</t>
  </si>
  <si>
    <t>Jenis Periode Pelaporan</t>
  </si>
  <si>
    <t>Desember</t>
  </si>
  <si>
    <t>LKT01DTU0009</t>
  </si>
  <si>
    <t>Nama Direksi / Penanggung Jawab</t>
  </si>
  <si>
    <t>HARDIYANTO PILIA</t>
  </si>
  <si>
    <t>LKT01DTU0010</t>
  </si>
  <si>
    <t>Jabatan Direksi / Penanggung Jawab</t>
  </si>
  <si>
    <t>DIREKTUR</t>
  </si>
  <si>
    <t>Data Audit</t>
  </si>
  <si>
    <t>LKT01DTU0011</t>
  </si>
  <si>
    <t>Nama Kantor Akuntan Publik (KAP)</t>
  </si>
  <si>
    <t>KANTOR AKUNTAN PUBLIK PURWANTO SUSANTI DAN SURJA</t>
  </si>
  <si>
    <t>LKT01DTU0016</t>
  </si>
  <si>
    <t>SK Izin Kantor Akuntan Publik</t>
  </si>
  <si>
    <t>69/MK/SK/2025</t>
  </si>
  <si>
    <t>LKT01DTU0017</t>
  </si>
  <si>
    <t>Status Kantor Akuntan Publik</t>
  </si>
  <si>
    <t>LKT01DTU0013</t>
  </si>
  <si>
    <t>Nama Akuntan Publik (AP)</t>
  </si>
  <si>
    <t>CHRISTOPHORUS ALVIN KOSSIM</t>
  </si>
  <si>
    <t>LKT01DTU0018</t>
  </si>
  <si>
    <t>Nomor Registrasi Akuntan Publik</t>
  </si>
  <si>
    <t>AP.1681</t>
  </si>
  <si>
    <t>LKT01DTU0012</t>
  </si>
  <si>
    <r>
      <t xml:space="preserve">Nomor STTD </t>
    </r>
    <r>
      <rPr>
        <b/>
        <sz val="11"/>
        <rFont val="Calibri"/>
        <family val="2"/>
      </rPr>
      <t>PM</t>
    </r>
    <r>
      <rPr>
        <sz val="11"/>
        <rFont val="Calibri"/>
        <family val="2"/>
      </rPr>
      <t xml:space="preserve"> Akuntan Publik</t>
    </r>
  </si>
  <si>
    <t>STTD.KAP-17/PM.021/2025</t>
  </si>
  <si>
    <t>LKT01DTU0019</t>
  </si>
  <si>
    <t>Status Akuntan Publik</t>
  </si>
  <si>
    <t>LKT01DTU0020</t>
  </si>
  <si>
    <t>Periode Penugasan AP</t>
  </si>
  <si>
    <t>tahun pertama (setelah cooling-off period)</t>
  </si>
  <si>
    <t>LKT01DTU0021</t>
  </si>
  <si>
    <t>Periode Audit Awal</t>
  </si>
  <si>
    <t>LKT01DTU0022</t>
  </si>
  <si>
    <t>Periode Audit Akhir</t>
  </si>
  <si>
    <t>LKT01DTU0023</t>
  </si>
  <si>
    <t>Jenis Audit</t>
  </si>
  <si>
    <t>LKT01DTU0014</t>
  </si>
  <si>
    <t>Opini Laporan</t>
  </si>
  <si>
    <t>LPKA</t>
  </si>
  <si>
    <t>1</t>
  </si>
  <si>
    <t>Laporan Posisi Keuangan</t>
  </si>
  <si>
    <t>Akun</t>
  </si>
  <si>
    <t>KODE LAMA</t>
  </si>
  <si>
    <t>MAP CODE</t>
  </si>
  <si>
    <t>Catatan Mapping</t>
  </si>
  <si>
    <t>LKT01LPK0023</t>
  </si>
  <si>
    <t>A</t>
  </si>
  <si>
    <t>LKT01LPK0001</t>
  </si>
  <si>
    <t>ASET</t>
  </si>
  <si>
    <t>LKT01LPK0002</t>
  </si>
  <si>
    <t>A.1</t>
  </si>
  <si>
    <t>Kas dan Setara Kas</t>
  </si>
  <si>
    <t>A.2</t>
  </si>
  <si>
    <t>LKT01LPK0060</t>
  </si>
  <si>
    <t>Kas dan Setara Kas yang Dibatasi Penggunaannya</t>
  </si>
  <si>
    <t>Akun Baru</t>
  </si>
  <si>
    <t>LKT01LPK0003</t>
  </si>
  <si>
    <t>A.3</t>
  </si>
  <si>
    <t>Deposito Berjangka</t>
  </si>
  <si>
    <t>LKT01LPK0005</t>
  </si>
  <si>
    <t>A.4</t>
  </si>
  <si>
    <t>Portofolio Efek</t>
  </si>
  <si>
    <t>A.5</t>
  </si>
  <si>
    <t>LKT01LPK0006</t>
  </si>
  <si>
    <t>Portofolio Efek yang Dialihkan</t>
  </si>
  <si>
    <t>A.6</t>
  </si>
  <si>
    <t>LKT01LPK0061</t>
  </si>
  <si>
    <t>Piutang Usaha</t>
  </si>
  <si>
    <t>A.6.1</t>
  </si>
  <si>
    <t>LKT01LPK0062</t>
  </si>
  <si>
    <t>Pihak Ketiga</t>
  </si>
  <si>
    <t>A.6.2</t>
  </si>
  <si>
    <t>LKT01LPK0063</t>
  </si>
  <si>
    <t>Pihak Berelasi</t>
  </si>
  <si>
    <t>A.7</t>
  </si>
  <si>
    <t>LKT01LPK0064</t>
  </si>
  <si>
    <t>Piutang Transaksi sebagai Perantara Pedagang Efek (Kegiatan sebagai PPE)</t>
  </si>
  <si>
    <t>A.7.1</t>
  </si>
  <si>
    <t>LKT01LPK0065</t>
  </si>
  <si>
    <t>A.7.2</t>
  </si>
  <si>
    <t>LKT01LPK0066</t>
  </si>
  <si>
    <t>LKT01LPK0012</t>
  </si>
  <si>
    <t>A.8</t>
  </si>
  <si>
    <t>Piutang Transaksi sebagai Penjaminan Emisi Efek (Kegiatan sebagai PEE)</t>
  </si>
  <si>
    <t>A.8.1</t>
  </si>
  <si>
    <t>LKT01LPK0067</t>
  </si>
  <si>
    <t>A.8.2</t>
  </si>
  <si>
    <t>LKT01LPK0068</t>
  </si>
  <si>
    <t>LKT01LPK0013</t>
  </si>
  <si>
    <t>A.9</t>
  </si>
  <si>
    <t>Piutang Transaksi Pengelolaan Investasi (Kegiatan sebagai MI)</t>
  </si>
  <si>
    <t>A.9.1</t>
  </si>
  <si>
    <t>LKT01LPK0069</t>
  </si>
  <si>
    <t>A.9.2</t>
  </si>
  <si>
    <t>LKT01LPK0070</t>
  </si>
  <si>
    <t>LKT01LPK0004</t>
  </si>
  <si>
    <t>A.10</t>
  </si>
  <si>
    <t>Piutang Transaksi Repo</t>
  </si>
  <si>
    <t>LKT01LPK0014</t>
  </si>
  <si>
    <t>A.11</t>
  </si>
  <si>
    <t>Piutang Lain-Lain</t>
  </si>
  <si>
    <t>LKT01LPK0015</t>
  </si>
  <si>
    <t>A.12</t>
  </si>
  <si>
    <t>Biaya Dibayar Dimuka</t>
  </si>
  <si>
    <t>LKT01LPK0016</t>
  </si>
  <si>
    <t>A.13</t>
  </si>
  <si>
    <t>Pajak Dibayar Dimuka</t>
  </si>
  <si>
    <t>A.14</t>
  </si>
  <si>
    <t>LKT01LPK0071</t>
  </si>
  <si>
    <t>Investasi pada Entitas Asosiasi</t>
  </si>
  <si>
    <t>A.15</t>
  </si>
  <si>
    <t>LKT01LPK0017</t>
  </si>
  <si>
    <t>Aset Tak Berwujud</t>
  </si>
  <si>
    <t>LKT01LPK0021</t>
  </si>
  <si>
    <t>A.16</t>
  </si>
  <si>
    <t>Aset Hak Guna</t>
  </si>
  <si>
    <t>LKT01LPK0018</t>
  </si>
  <si>
    <t>A.17</t>
  </si>
  <si>
    <t>Aset Tetap</t>
  </si>
  <si>
    <t>LKT01LPK0019</t>
  </si>
  <si>
    <t>A.18</t>
  </si>
  <si>
    <t>Aset Pajak Tangguhan</t>
  </si>
  <si>
    <t>LKT01LPK0022</t>
  </si>
  <si>
    <t>A.19</t>
  </si>
  <si>
    <t>Aset Lain-Lain</t>
  </si>
  <si>
    <t>TOTAL ASET</t>
  </si>
  <si>
    <t>LKT01LPK0044</t>
  </si>
  <si>
    <t>B</t>
  </si>
  <si>
    <t>LKT01LPK0024</t>
  </si>
  <si>
    <t>LIABILITAS</t>
  </si>
  <si>
    <t>B.1</t>
  </si>
  <si>
    <t>LKT01LPK0072</t>
  </si>
  <si>
    <t>Utang Usaha</t>
  </si>
  <si>
    <t>B.1.1</t>
  </si>
  <si>
    <t>LKT01LPK0073</t>
  </si>
  <si>
    <t>B.1.2</t>
  </si>
  <si>
    <t>LKT01LPK0074</t>
  </si>
  <si>
    <t>B.2</t>
  </si>
  <si>
    <t>LKT01LPK0075</t>
  </si>
  <si>
    <t>Utang Transaksi Perantara Pedagang Efek</t>
  </si>
  <si>
    <t>B.2.1</t>
  </si>
  <si>
    <t>LKT01LPK0076</t>
  </si>
  <si>
    <t>B.2.2</t>
  </si>
  <si>
    <t>LKT01LPK0077</t>
  </si>
  <si>
    <t>LKT01LPK0032</t>
  </si>
  <si>
    <t>B.3</t>
  </si>
  <si>
    <t>Utang Transaksi Penjaminan Emisi Efek</t>
  </si>
  <si>
    <t>B.3.1</t>
  </si>
  <si>
    <t>LKT01LPK0078</t>
  </si>
  <si>
    <t>B.3.2</t>
  </si>
  <si>
    <t>LKT01LPK0079</t>
  </si>
  <si>
    <t>LKT01LPK0033</t>
  </si>
  <si>
    <t>B.4</t>
  </si>
  <si>
    <t>Utang Transaksi Pengelolaan Investasi</t>
  </si>
  <si>
    <t>B.4.1</t>
  </si>
  <si>
    <t>LKT01LPK0080</t>
  </si>
  <si>
    <t>B.4.2</t>
  </si>
  <si>
    <t>LKT01LPK0081</t>
  </si>
  <si>
    <t>LKT01LPK0026</t>
  </si>
  <si>
    <t>B.5</t>
  </si>
  <si>
    <t>Utang Transaksi Repo</t>
  </si>
  <si>
    <t>LKT01LPK0036</t>
  </si>
  <si>
    <t>B.6</t>
  </si>
  <si>
    <t>Utang Pajak</t>
  </si>
  <si>
    <t>B.7</t>
  </si>
  <si>
    <t>LKT01LPK0037</t>
  </si>
  <si>
    <t>Beban Akrual</t>
  </si>
  <si>
    <t>LKT01LPK0025</t>
  </si>
  <si>
    <t>B.8</t>
  </si>
  <si>
    <t>Utang Jangka Pendek</t>
  </si>
  <si>
    <t>B.9</t>
  </si>
  <si>
    <t>LKT01LPK0082</t>
  </si>
  <si>
    <t>Liabilitas Pajak Tangguhan</t>
  </si>
  <si>
    <t>LKT01LPK0038</t>
  </si>
  <si>
    <t>B.10</t>
  </si>
  <si>
    <t>Utang Jangka Panjang</t>
  </si>
  <si>
    <t>B.11</t>
  </si>
  <si>
    <t>LKT01LPK0039</t>
  </si>
  <si>
    <t>Surat Utang Jangka Panjang</t>
  </si>
  <si>
    <t>LKT01LPK0035</t>
  </si>
  <si>
    <t>B.12</t>
  </si>
  <si>
    <t>Utang Sewa</t>
  </si>
  <si>
    <t>LKT01LPK0040</t>
  </si>
  <si>
    <t>B.13</t>
  </si>
  <si>
    <t>Liabilitas Imbalan Kerja</t>
  </si>
  <si>
    <t>LKT01LPK0041</t>
  </si>
  <si>
    <t>B.14</t>
  </si>
  <si>
    <t>Utang Subordinasi</t>
  </si>
  <si>
    <t>B.15</t>
  </si>
  <si>
    <t>LKT01LPK0042</t>
  </si>
  <si>
    <t>Obligasi Konversi</t>
  </si>
  <si>
    <t>LKT01LPK0043</t>
  </si>
  <si>
    <t>B.16</t>
  </si>
  <si>
    <t>Utang Lain-Lain</t>
  </si>
  <si>
    <t>TOTAL LIABILITAS</t>
  </si>
  <si>
    <t>LKT01LPK0058</t>
  </si>
  <si>
    <t>C</t>
  </si>
  <si>
    <t>LKT01LPK0045</t>
  </si>
  <si>
    <t>EKUITAS</t>
  </si>
  <si>
    <t>LKT01LPK0046</t>
  </si>
  <si>
    <t>C.1</t>
  </si>
  <si>
    <t>Ekuitas yang dapat diatribusikan kepada pemilik entitas induk</t>
  </si>
  <si>
    <t>LKT01LPK0047</t>
  </si>
  <si>
    <t>C.1.2</t>
  </si>
  <si>
    <t>Modal Saham</t>
  </si>
  <si>
    <t>LKT01LPK0048</t>
  </si>
  <si>
    <t>C.1.3</t>
  </si>
  <si>
    <t>Tambahan Modal Disetor (additional paid-in capital)</t>
  </si>
  <si>
    <t>C.1.4</t>
  </si>
  <si>
    <t>LKT01LPK0083</t>
  </si>
  <si>
    <t>Selisih Transaksi dengan Pihak Nonpengendali</t>
  </si>
  <si>
    <t>C.1.5</t>
  </si>
  <si>
    <t>LKT01LPK0050</t>
  </si>
  <si>
    <t>Saham Treasuri</t>
  </si>
  <si>
    <t>C.1.6</t>
  </si>
  <si>
    <t>LKT01LPK0052</t>
  </si>
  <si>
    <t>Saldo Laba</t>
  </si>
  <si>
    <t>C.2</t>
  </si>
  <si>
    <t>LKT01LPK0084</t>
  </si>
  <si>
    <t>Penghasilan Komprehensif Lain</t>
  </si>
  <si>
    <t>C.2.1</t>
  </si>
  <si>
    <t>LKT01LPK0085</t>
  </si>
  <si>
    <t>Yang tidak akan direklasifikasi lebih lanjut ke laba rugi</t>
  </si>
  <si>
    <t>C.2.2</t>
  </si>
  <si>
    <t>LKT01LPK0086</t>
  </si>
  <si>
    <t>Yang akan direklasifikasi lebih lanjut ke laba rugi</t>
  </si>
  <si>
    <t>LKT01LPK0056</t>
  </si>
  <si>
    <t>C.3</t>
  </si>
  <si>
    <t>Total Ekuitas yang dapat diatribusikan kepada pemilik entitas induk</t>
  </si>
  <si>
    <t>LKT01LPK0057</t>
  </si>
  <si>
    <t>C.4</t>
  </si>
  <si>
    <t>Kepentingan Nonpengendali</t>
  </si>
  <si>
    <t>TOTAL EKUITAS</t>
  </si>
  <si>
    <t>LKT01LPK0059</t>
  </si>
  <si>
    <t>D</t>
  </si>
  <si>
    <t>TOTAL LIABILITAS DAN EKUITAS</t>
  </si>
  <si>
    <t>LLRKTLEA</t>
  </si>
  <si>
    <t>Laporan Laba Rugi Komprehensif</t>
  </si>
  <si>
    <t>-</t>
  </si>
  <si>
    <t>LKT01LLR0001</t>
  </si>
  <si>
    <t>PENDAPATAN</t>
  </si>
  <si>
    <t>LKT01LLR0066</t>
  </si>
  <si>
    <t>Pendapatan dari kontrak dengan pelanggan</t>
  </si>
  <si>
    <t>LKT01LLR0067</t>
  </si>
  <si>
    <t>A.1.1</t>
  </si>
  <si>
    <t>Pendapatan komisi</t>
  </si>
  <si>
    <t>LKT01LLR0003</t>
  </si>
  <si>
    <t>A.1.1.1</t>
  </si>
  <si>
    <t>Perantara (fee broker)</t>
  </si>
  <si>
    <t>LKT01LLR0068</t>
  </si>
  <si>
    <t>A.1.1.2</t>
  </si>
  <si>
    <t>Anggota sindikasi</t>
  </si>
  <si>
    <t>LKT01LLR0006</t>
  </si>
  <si>
    <t>A.1.1.3</t>
  </si>
  <si>
    <t>Pendapatan Komisi Lainnya</t>
  </si>
  <si>
    <t>LKT01LLR0069</t>
  </si>
  <si>
    <t>A.1.2</t>
  </si>
  <si>
    <t>Pendapatan jasa</t>
  </si>
  <si>
    <t>LKT01LLR0015</t>
  </si>
  <si>
    <t>A.1.2.1</t>
  </si>
  <si>
    <t>Jasa Kegiatan Manajer Investasi:</t>
  </si>
  <si>
    <t>LKT01LLR0016</t>
  </si>
  <si>
    <t>A.1.2.1.1</t>
  </si>
  <si>
    <t>- management fee</t>
  </si>
  <si>
    <t>LKT01LLR0017</t>
  </si>
  <si>
    <t>A.1.2.1.2</t>
  </si>
  <si>
    <t>- subscription fee</t>
  </si>
  <si>
    <t>LKT01LLR0018</t>
  </si>
  <si>
    <t>A.1.2.1.3</t>
  </si>
  <si>
    <t>- redemption fee</t>
  </si>
  <si>
    <t>LKT01LLR0020</t>
  </si>
  <si>
    <t>A.1.2.2</t>
  </si>
  <si>
    <t>Jasa Kegiatan Penasihat Investasi</t>
  </si>
  <si>
    <t>LKT01LLR0010</t>
  </si>
  <si>
    <t>A.1.2.3</t>
  </si>
  <si>
    <t>Jasa Penjamin emisi (lead underwriter)</t>
  </si>
  <si>
    <t>LKT01LLR0011</t>
  </si>
  <si>
    <t>A.1.2.4</t>
  </si>
  <si>
    <t>Pendapatan Jasa Lainnya</t>
  </si>
  <si>
    <t>LKT01LLR0070</t>
  </si>
  <si>
    <t>A.1.3</t>
  </si>
  <si>
    <t>Pendapatan dari kontrak dengan pelanggan lainnya</t>
  </si>
  <si>
    <t>LKT01LLR0071</t>
  </si>
  <si>
    <t>A.1.4</t>
  </si>
  <si>
    <t>Pendapatan dari hasil investasi</t>
  </si>
  <si>
    <t>LKT01LLR0072</t>
  </si>
  <si>
    <t>A.1.4.1</t>
  </si>
  <si>
    <t>Imbalan yang diterima dari hasil investasi</t>
  </si>
  <si>
    <t>LKT01LLR0007</t>
  </si>
  <si>
    <t>A.1.4.1.1</t>
  </si>
  <si>
    <t>Pendapatan bunga</t>
  </si>
  <si>
    <t>LKT01LLR0073</t>
  </si>
  <si>
    <t>A.1.4.1.2</t>
  </si>
  <si>
    <t>Imbal hasil dari Efek bersifat utang dan instrumen pasar uang</t>
  </si>
  <si>
    <t>LKT01LLR0074</t>
  </si>
  <si>
    <t>A.1.4.1.3</t>
  </si>
  <si>
    <t>dividen dari Efek bersifat ekuitas.</t>
  </si>
  <si>
    <t>LKT01LLR0075</t>
  </si>
  <si>
    <t>A.1.4.1.4</t>
  </si>
  <si>
    <t>Imbalan yang diterima dari hasil investasi lainnya</t>
  </si>
  <si>
    <t>LKT01LLR0076</t>
  </si>
  <si>
    <t>A.1.4.2</t>
  </si>
  <si>
    <t>Keuntungan (kerugian) investasi</t>
  </si>
  <si>
    <t>LKT01LLR0077</t>
  </si>
  <si>
    <t>A.1.4.2.1</t>
  </si>
  <si>
    <t>keuntungan (kerugian) dari transaksi perdagangan Efek</t>
  </si>
  <si>
    <t>LKT01LLR0078</t>
  </si>
  <si>
    <t>A.1.4.2.1.1</t>
  </si>
  <si>
    <t>LKT01LLR0079</t>
  </si>
  <si>
    <t>A.1.4.2.1.2</t>
  </si>
  <si>
    <t>Pihak ketiga</t>
  </si>
  <si>
    <t>LKT01LLR0080</t>
  </si>
  <si>
    <t>A.1.4.2.2</t>
  </si>
  <si>
    <t>keuntungan (kerugian) yang belum terealisasi atas Efek yang diukur pada Nilai Wajar melalui laba rugi.</t>
  </si>
  <si>
    <t>LKT01LLR0081</t>
  </si>
  <si>
    <t>A.1.4.2.2.1</t>
  </si>
  <si>
    <t>LKT01LLR0082</t>
  </si>
  <si>
    <t>A.1.4.2.2.2</t>
  </si>
  <si>
    <t>LKT01LLR0022</t>
  </si>
  <si>
    <t>Total Pendapatan</t>
  </si>
  <si>
    <t>LKT01LLR0023</t>
  </si>
  <si>
    <t>BEBAN</t>
  </si>
  <si>
    <t>LKT01LLR0024</t>
  </si>
  <si>
    <t xml:space="preserve">Beban Kepegawaian </t>
  </si>
  <si>
    <t>LKT01LLR0025</t>
  </si>
  <si>
    <t>Komisi agen penjual</t>
  </si>
  <si>
    <t>LKT01LLR0026</t>
  </si>
  <si>
    <t>Beban pengaturan, pengawasan, pemeriksaan, dan penelitian oleh OJK</t>
  </si>
  <si>
    <t>LKT01LLR0027</t>
  </si>
  <si>
    <t xml:space="preserve">Telekomunikasi </t>
  </si>
  <si>
    <t>LKT01LLR0028</t>
  </si>
  <si>
    <t xml:space="preserve">Iklan dan Promosi </t>
  </si>
  <si>
    <t>LKT01LLR0029</t>
  </si>
  <si>
    <t xml:space="preserve">Administrasi dan Umum </t>
  </si>
  <si>
    <t>LKT01LLR0030</t>
  </si>
  <si>
    <t>Penyusutan</t>
  </si>
  <si>
    <t>LKT01LLR0031</t>
  </si>
  <si>
    <t>Sewa Kantor</t>
  </si>
  <si>
    <t>LKT01LLR0032</t>
  </si>
  <si>
    <t xml:space="preserve">Jasa Profesional </t>
  </si>
  <si>
    <t>LKT01LLR0033</t>
  </si>
  <si>
    <t xml:space="preserve">Perjalanan Dinas </t>
  </si>
  <si>
    <t>LKT01LLR0034</t>
  </si>
  <si>
    <t xml:space="preserve">Pelatihan dan Seminar </t>
  </si>
  <si>
    <t>LKT01LLR0035</t>
  </si>
  <si>
    <t xml:space="preserve">Jamuan dan Sumbangan </t>
  </si>
  <si>
    <t>LKT01LLR0036</t>
  </si>
  <si>
    <t xml:space="preserve">Kustodian </t>
  </si>
  <si>
    <t>LKT01LLR0037</t>
  </si>
  <si>
    <t xml:space="preserve">Beban Pemeliharaan Sistem </t>
  </si>
  <si>
    <t>LKT01LLR0038</t>
  </si>
  <si>
    <t xml:space="preserve">Lain-lain </t>
  </si>
  <si>
    <t>LKT01LLR0039</t>
  </si>
  <si>
    <t>Total Beban</t>
  </si>
  <si>
    <t>LKT01LLR0040</t>
  </si>
  <si>
    <t>LABA BRUTO</t>
  </si>
  <si>
    <t>LKT01LLR0083</t>
  </si>
  <si>
    <t>Pendapatan Lainnya</t>
  </si>
  <si>
    <t>LKT01LLR0084</t>
  </si>
  <si>
    <t>E</t>
  </si>
  <si>
    <t>Beban Lainnya</t>
  </si>
  <si>
    <t>LKT01LLR0085</t>
  </si>
  <si>
    <t>F</t>
  </si>
  <si>
    <t>Biaya Keuangan</t>
  </si>
  <si>
    <t>LKT01LLR0048</t>
  </si>
  <si>
    <t>G</t>
  </si>
  <si>
    <t>LABA (RUGI) SEBELUM PAJAK</t>
  </si>
  <si>
    <t>LKT01LLR0049</t>
  </si>
  <si>
    <t>H</t>
  </si>
  <si>
    <t>Beban (penghasilan) pajak</t>
  </si>
  <si>
    <t>LKT01LLR0050</t>
  </si>
  <si>
    <t>I</t>
  </si>
  <si>
    <t>LABA (RUGI) PERIODE BERJALAN</t>
  </si>
  <si>
    <t>LKT01LLR0051</t>
  </si>
  <si>
    <t>J</t>
  </si>
  <si>
    <t>LKT01LLR0086</t>
  </si>
  <si>
    <t>J.1</t>
  </si>
  <si>
    <t>LKT01LLR0087</t>
  </si>
  <si>
    <t>J.2</t>
  </si>
  <si>
    <t>LKT01LLR0055</t>
  </si>
  <si>
    <t>K</t>
  </si>
  <si>
    <t>Pajak penghasilan terkait penghasilan komprehensif lain</t>
  </si>
  <si>
    <t>LKT01LLR0056</t>
  </si>
  <si>
    <t>L</t>
  </si>
  <si>
    <t>PENGHASILAN KOMPREHENSIF LAIN PERIODE BERJALAN SETELAH PAJAK</t>
  </si>
  <si>
    <t>LKT01LLR0057</t>
  </si>
  <si>
    <t>M</t>
  </si>
  <si>
    <t>TOTAL PENGHASILAN KOMPREHENSIF PERIODE BERJALAN</t>
  </si>
  <si>
    <t>LKT01LLR0058</t>
  </si>
  <si>
    <t>N</t>
  </si>
  <si>
    <t>LABA (RUGI) SELAMA PERIODE YANG DIATRIBUSIKAN KEPADA</t>
  </si>
  <si>
    <t>LKT01LLR0059</t>
  </si>
  <si>
    <t>N.1</t>
  </si>
  <si>
    <t>Pemilik entitas induk</t>
  </si>
  <si>
    <t>LKT01LLR0060</t>
  </si>
  <si>
    <t>N.2</t>
  </si>
  <si>
    <t>Kepentingan nonpengendali</t>
  </si>
  <si>
    <t>LKT01LLR0061</t>
  </si>
  <si>
    <t xml:space="preserve">JUMLAH LABA (RUGI) SELAMA PERIODE </t>
  </si>
  <si>
    <t>LKT01LLR0062</t>
  </si>
  <si>
    <t>O</t>
  </si>
  <si>
    <t>TOTAL PENGHASILAN KOMPREHENSIF SELAMA PERIODE YANG DIATRIBUSIKAN KEPADA:</t>
  </si>
  <si>
    <t>LKT01LLR0063</t>
  </si>
  <si>
    <t>O.1</t>
  </si>
  <si>
    <t>LKT01LLR0064</t>
  </si>
  <si>
    <t>O.2</t>
  </si>
  <si>
    <t>LKT01LLR0065</t>
  </si>
  <si>
    <t xml:space="preserve">JUMLAH PENGHASILAN KOMPREHENSIF SELAMA PERIODE </t>
  </si>
  <si>
    <t>LKT01LLR0088</t>
  </si>
  <si>
    <t>P</t>
  </si>
  <si>
    <t>LABA (RUGI) PER SAHAM DASAR DAN DILUSIAN</t>
  </si>
  <si>
    <t>LAKTLEA</t>
  </si>
  <si>
    <t>Laporan Arus Kas</t>
  </si>
  <si>
    <t>KOMPONEN</t>
  </si>
  <si>
    <t>LKT01LAK0001</t>
  </si>
  <si>
    <t>ARUS KAS DARI AKTIVITAS OPERASI</t>
  </si>
  <si>
    <t>LKT01LAK0002</t>
  </si>
  <si>
    <t>Penerimaan Komisi</t>
  </si>
  <si>
    <t>LKT01LAK0003</t>
  </si>
  <si>
    <t>Penerimaan Jasa Manajer Investasi, Penasehat Investasi, Penjamin Emisi, atau Jasa lainnya</t>
  </si>
  <si>
    <t>LKT01LAK0004</t>
  </si>
  <si>
    <t>Penerimaan Penghasilan Bunga</t>
  </si>
  <si>
    <t>LKT01LAK0005</t>
  </si>
  <si>
    <t>Penerimaan atas Efek Diperdagangkan</t>
  </si>
  <si>
    <t>LKT01LAK0006</t>
  </si>
  <si>
    <t>Penerimaan dari Nasabah - bersih</t>
  </si>
  <si>
    <t>LKT01LAK0007</t>
  </si>
  <si>
    <t>Penerimaan dari Lembaga Kliring dan Penjaminan-bersih</t>
  </si>
  <si>
    <t>LKT01LAK0008</t>
  </si>
  <si>
    <t>Pembayaran kepada PE - bersih</t>
  </si>
  <si>
    <t>LKT01LAK0009</t>
  </si>
  <si>
    <t>Penerimaan dari (Pembayaran kepada) Nasabah Marjin - bersih</t>
  </si>
  <si>
    <t>LKT01LAK0010</t>
  </si>
  <si>
    <t>Penjualan Portofolio Efek – bersih</t>
  </si>
  <si>
    <t>LKT01LAK0011</t>
  </si>
  <si>
    <t>Pembayaran kepada Pemasok dan Karyawan</t>
  </si>
  <si>
    <t>LKT01LAK0012</t>
  </si>
  <si>
    <t>Pembayaran Pajak Penghasilan</t>
  </si>
  <si>
    <t>LKT01LAK0013</t>
  </si>
  <si>
    <t>Penerimaan (Pembayaran) Lainnya - bersih</t>
  </si>
  <si>
    <t>LKT01LAK0014</t>
  </si>
  <si>
    <t>Arus Kas Neto dari (untuk) Aktivitas Operasi</t>
  </si>
  <si>
    <t>LKT01LAK0015</t>
  </si>
  <si>
    <t>ARUS KAS DARI AKTIVITAS INVESTASI</t>
  </si>
  <si>
    <t>LKT01LAK0016</t>
  </si>
  <si>
    <t>Penerimaan Bunga</t>
  </si>
  <si>
    <t>LKT01LAK0017</t>
  </si>
  <si>
    <t>Pencairan Deposito Berjangka</t>
  </si>
  <si>
    <t>LKT01LAK0018</t>
  </si>
  <si>
    <t>Hasil Penjualan Aset Tetap</t>
  </si>
  <si>
    <t>LKT01LAK0019</t>
  </si>
  <si>
    <t>Penempatan Deposito Berjangka</t>
  </si>
  <si>
    <t>LKT01LAK0020</t>
  </si>
  <si>
    <t>Perolehan Aset Tetap</t>
  </si>
  <si>
    <t>LKT01LAK0021</t>
  </si>
  <si>
    <t>LKT01LAK0022</t>
  </si>
  <si>
    <t>Arus Kas Neto dari (untuk) Aktivitas Investasi</t>
  </si>
  <si>
    <t>LKT01LAK0023</t>
  </si>
  <si>
    <t>ARUS KAS DARI AKTIVITAS PENDANAAN</t>
  </si>
  <si>
    <t>LKT01LAK0024</t>
  </si>
  <si>
    <t>Penerbitan Modal Saham</t>
  </si>
  <si>
    <t>LKT01LAK0025</t>
  </si>
  <si>
    <t>Penerbitan Surat Utang Jangka Pendek</t>
  </si>
  <si>
    <t>LKT01LAK0026</t>
  </si>
  <si>
    <t>Pelunasan Surat Utang Jangka Pendek</t>
  </si>
  <si>
    <t>LKT01LAK0027</t>
  </si>
  <si>
    <t>Penerimaan Pinjaman Bank</t>
  </si>
  <si>
    <t>LKT01LAK0028</t>
  </si>
  <si>
    <t>C.5</t>
  </si>
  <si>
    <t>Pembayaran Pinjaman Bank</t>
  </si>
  <si>
    <t>LKT01LAK0029</t>
  </si>
  <si>
    <t>C.6</t>
  </si>
  <si>
    <t>Pembayaran Bunga</t>
  </si>
  <si>
    <t>LKT01LAK0030</t>
  </si>
  <si>
    <t>C.7</t>
  </si>
  <si>
    <t>LKT01LAK0031</t>
  </si>
  <si>
    <t>Arus Kas Neto dari (untuk) Aktivitas Pendanaan</t>
  </si>
  <si>
    <t>LKT01LAK0032</t>
  </si>
  <si>
    <t>Kenaikan (Penurunan) Neto Kas dan Setara Kas</t>
  </si>
  <si>
    <t>LKT01LAK0033</t>
  </si>
  <si>
    <t>Kas dan Setara Kas Awal Periode</t>
  </si>
  <si>
    <t>LKT01LAK0034</t>
  </si>
  <si>
    <t>Kas dan Setara Kas Akhir Periode</t>
  </si>
  <si>
    <t>LPETLEA</t>
  </si>
  <si>
    <t>Laporan Perubahan Ekuitas</t>
  </si>
  <si>
    <t>LKT01LPE0001</t>
  </si>
  <si>
    <t>Saldo per 1 Januari {PREVYYYY}</t>
  </si>
  <si>
    <t>LKT01LPE0002</t>
  </si>
  <si>
    <t>Perubahan Kebijakan Akuntansi</t>
  </si>
  <si>
    <t>LKT01LPE0003</t>
  </si>
  <si>
    <t>Saldo yang disajikan Kembali</t>
  </si>
  <si>
    <t>Perubahan Ekuitas pada Tahun (PREVYYYY)</t>
  </si>
  <si>
    <t>LKT01LPE0004</t>
  </si>
  <si>
    <t>Laba (Rugi) Bersih Periode Berjalan</t>
  </si>
  <si>
    <t>LKT01LPE0009</t>
  </si>
  <si>
    <t>Dividen</t>
  </si>
  <si>
    <t>LKT01LPE0006</t>
  </si>
  <si>
    <t>LKT01LPE0011</t>
  </si>
  <si>
    <t>Saldo per 31 Desember {PREVYYYY}</t>
  </si>
  <si>
    <t>Perubahan Ekuitas pada Tahun (YYYY)</t>
  </si>
  <si>
    <t>LKT01LPE0014</t>
  </si>
  <si>
    <t>LKT01LPE0019</t>
  </si>
  <si>
    <t>LKT01LPE0016</t>
  </si>
  <si>
    <t>Saldo per 31 Desember {YYYY}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</si>
</sst>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_-"/>
    <numFmt numFmtId="165" formatCode="dd\-mmm\-yyyy"/>
    <numFmt numFmtId="166" formatCode="0_);\(0\)"/>
    <numFmt numFmtId="167" formatCode="_(* #,##0.00_);_(* \(#,##0.00\);_(* &quot; - &quot;??_);_(@_)"/>
    <numFmt numFmtId="168" formatCode="_-* #,##0_-;\-* #,##0_-;_-* &quot;-&quot;??_-;_-@_-"/>
  </numFmts>
  <fonts count="28">
    <font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6"/>
      <name val="Calibri"/>
      <family val="2"/>
    </font>
    <font>
      <sz val="11"/>
      <color rgb="FFFFFFFF"/>
      <name val="Calibri"/>
      <family val="2"/>
    </font>
    <font>
      <sz val="12"/>
      <name val="Calibri"/>
      <family val="2"/>
    </font>
    <font>
      <sz val="10"/>
      <name val="Calibri"/>
      <family val="2"/>
    </font>
    <font>
      <sz val="11"/>
      <name val="Calibri"/>
      <family val="2"/>
    </font>
    <font>
      <sz val="8"/>
      <name val="Calibri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</font>
    <font>
      <b/>
      <sz val="10"/>
      <name val="Calibri"/>
      <family val="2"/>
    </font>
    <font>
      <b/>
      <sz val="12"/>
      <name val="Calibri"/>
      <family val="2"/>
    </font>
    <font>
      <sz val="8"/>
      <color indexed="81"/>
      <name val="Calibri"/>
      <family val="2"/>
    </font>
    <font>
      <sz val="11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</font>
    <font>
      <sz val="12"/>
      <name val="Calibri"/>
      <family val="2"/>
      <scheme val="minor"/>
    </font>
    <font>
      <sz val="12"/>
      <color rgb="FFFFFFFF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808080"/>
      <name val="Calibri"/>
      <family val="2"/>
      <scheme val="minor"/>
    </font>
    <font>
      <sz val="12"/>
      <color rgb="FFFFFFFF"/>
      <name val="Calibri"/>
      <family val="2"/>
    </font>
    <font>
      <b/>
      <sz val="12"/>
      <color rgb="FF808080"/>
      <name val="Calibri"/>
      <family val="2"/>
    </font>
    <font>
      <b/>
      <sz val="8"/>
      <color indexed="81"/>
      <name val="Calibri"/>
      <family val="2"/>
    </font>
    <font>
      <sz val="12"/>
      <color theme="1" tint="0.499984740745262"/>
      <name val="Calibri"/>
      <family val="2"/>
      <scheme val="minor"/>
    </font>
    <font>
      <sz val="12"/>
      <color theme="1" tint="0.499984740745262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FFFF00"/>
      </patternFill>
    </fill>
    <fill>
      <patternFill patternType="lightGrid">
        <fgColor rgb="FFFFFFFF"/>
        <bgColor rgb="FFD3D3D3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lightGrid">
        <fgColor rgb="FFFFFFFF"/>
        <bgColor theme="1" tint="0.14999847407452621"/>
      </patternFill>
    </fill>
    <fill>
      <patternFill patternType="solid">
        <fgColor theme="1" tint="0.499984740745262"/>
        <bgColor indexed="64"/>
      </patternFill>
    </fill>
  </fills>
  <borders count="11">
    <border>
      <left/>
      <right/>
      <top/>
      <bottom/>
      <diagonal/>
    </border>
    <border>
      <left style="hair">
        <color rgb="FFD3D3D3"/>
      </left>
      <right style="hair">
        <color rgb="FFD3D3D3"/>
      </right>
      <top style="hair">
        <color rgb="FFD3D3D3"/>
      </top>
      <bottom style="hair">
        <color rgb="FFD3D3D3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0" fontId="1" fillId="0" borderId="0"/>
    <xf numFmtId="0" fontId="7" fillId="0" borderId="0"/>
    <xf numFmtId="164" fontId="18" fillId="0" borderId="0" applyFont="0" applyFill="0" applyBorder="0" applyAlignment="0" applyProtection="0"/>
  </cellStyleXfs>
  <cellXfs count="169">
    <xf numFmtId="0" fontId="0" fillId="0" borderId="0" xfId="0"/>
    <xf numFmtId="0" fontId="0" fillId="2" borderId="0" xfId="0" applyFill="1" applyAlignment="1">
      <alignment vertical="top"/>
    </xf>
    <xf numFmtId="0" fontId="0" fillId="3" borderId="0" xfId="0" applyFill="1" applyAlignment="1">
      <alignment vertical="top"/>
    </xf>
    <xf numFmtId="0" fontId="3" fillId="3" borderId="0" xfId="0" applyFont="1" applyFill="1" applyAlignment="1">
      <alignment vertical="top"/>
    </xf>
    <xf numFmtId="0" fontId="2" fillId="4" borderId="1" xfId="0" applyFont="1" applyFill="1" applyBorder="1" applyAlignment="1">
      <alignment vertical="top"/>
    </xf>
    <xf numFmtId="0" fontId="0" fillId="5" borderId="0" xfId="0" applyFill="1" applyAlignment="1" applyProtection="1">
      <alignment vertical="top"/>
      <protection hidden="1"/>
    </xf>
    <xf numFmtId="0" fontId="4" fillId="3" borderId="0" xfId="0" applyFont="1" applyFill="1" applyAlignment="1">
      <alignment vertical="top"/>
    </xf>
    <xf numFmtId="0" fontId="5" fillId="3" borderId="0" xfId="0" applyFont="1" applyFill="1" applyAlignment="1">
      <alignment vertical="top"/>
    </xf>
    <xf numFmtId="0" fontId="0" fillId="4" borderId="4" xfId="0" applyFill="1" applyBorder="1" applyAlignment="1">
      <alignment vertical="top" wrapText="1"/>
    </xf>
    <xf numFmtId="0" fontId="7" fillId="3" borderId="0" xfId="0" applyFont="1" applyFill="1" applyAlignment="1">
      <alignment vertical="top"/>
    </xf>
    <xf numFmtId="0" fontId="7" fillId="2" borderId="0" xfId="0" applyFont="1" applyFill="1" applyAlignment="1">
      <alignment vertical="top"/>
    </xf>
    <xf numFmtId="0" fontId="7" fillId="4" borderId="4" xfId="0" applyFont="1" applyFill="1" applyBorder="1" applyAlignment="1">
      <alignment vertical="top" wrapText="1"/>
    </xf>
    <xf numFmtId="0" fontId="0" fillId="3" borderId="0" xfId="0" applyFill="1" applyAlignment="1">
      <alignment vertical="top" wrapText="1"/>
    </xf>
    <xf numFmtId="0" fontId="0" fillId="2" borderId="0" xfId="0" applyFill="1" applyAlignment="1">
      <alignment vertical="top" wrapText="1"/>
    </xf>
    <xf numFmtId="0" fontId="9" fillId="8" borderId="0" xfId="0" applyFont="1" applyFill="1"/>
    <xf numFmtId="0" fontId="0" fillId="8" borderId="0" xfId="0" applyFill="1"/>
    <xf numFmtId="0" fontId="0" fillId="8" borderId="0" xfId="0" applyFill="1" applyAlignment="1">
      <alignment horizontal="center"/>
    </xf>
    <xf numFmtId="0" fontId="7" fillId="8" borderId="0" xfId="0" applyFont="1" applyFill="1"/>
    <xf numFmtId="0" fontId="6" fillId="3" borderId="9" xfId="0" applyFont="1" applyFill="1" applyBorder="1" applyAlignment="1">
      <alignment horizontal="center" vertical="top"/>
    </xf>
    <xf numFmtId="0" fontId="6" fillId="3" borderId="9" xfId="0" applyFont="1" applyFill="1" applyBorder="1" applyAlignment="1">
      <alignment vertical="top" wrapText="1"/>
    </xf>
    <xf numFmtId="0" fontId="5" fillId="9" borderId="9" xfId="0" applyFont="1" applyFill="1" applyBorder="1" applyAlignment="1">
      <alignment horizontal="center" vertical="top"/>
    </xf>
    <xf numFmtId="0" fontId="12" fillId="10" borderId="9" xfId="0" applyFont="1" applyFill="1" applyBorder="1" applyAlignment="1">
      <alignment horizontal="center" vertical="top"/>
    </xf>
    <xf numFmtId="0" fontId="12" fillId="10" borderId="9" xfId="0" applyFont="1" applyFill="1" applyBorder="1" applyAlignment="1">
      <alignment horizontal="center" vertical="top" wrapText="1"/>
    </xf>
    <xf numFmtId="0" fontId="6" fillId="3" borderId="9" xfId="0" applyFont="1" applyFill="1" applyBorder="1" applyAlignment="1">
      <alignment horizontal="left" vertical="top"/>
    </xf>
    <xf numFmtId="0" fontId="15" fillId="3" borderId="0" xfId="0" applyFont="1" applyFill="1" applyAlignment="1">
      <alignment vertical="top"/>
    </xf>
    <xf numFmtId="0" fontId="2" fillId="4" borderId="1" xfId="0" applyFont="1" applyFill="1" applyBorder="1" applyAlignment="1">
      <alignment vertical="center"/>
    </xf>
    <xf numFmtId="0" fontId="7" fillId="13" borderId="0" xfId="0" applyFont="1" applyFill="1" applyAlignment="1">
      <alignment vertical="top"/>
    </xf>
    <xf numFmtId="164" fontId="19" fillId="2" borderId="0" xfId="3" applyFont="1" applyFill="1" applyAlignment="1">
      <alignment vertical="top"/>
    </xf>
    <xf numFmtId="164" fontId="20" fillId="3" borderId="0" xfId="3" applyFont="1" applyFill="1" applyAlignment="1">
      <alignment vertical="top"/>
    </xf>
    <xf numFmtId="164" fontId="19" fillId="3" borderId="0" xfId="3" applyFont="1" applyFill="1" applyAlignment="1">
      <alignment vertical="top"/>
    </xf>
    <xf numFmtId="164" fontId="19" fillId="4" borderId="5" xfId="3" applyFont="1" applyFill="1" applyBorder="1" applyAlignment="1">
      <alignment vertical="top" wrapText="1"/>
    </xf>
    <xf numFmtId="164" fontId="21" fillId="7" borderId="0" xfId="3" applyFont="1" applyFill="1" applyAlignment="1">
      <alignment horizontal="center" vertical="top"/>
    </xf>
    <xf numFmtId="164" fontId="21" fillId="12" borderId="3" xfId="3" applyFont="1" applyFill="1" applyBorder="1" applyAlignment="1">
      <alignment horizontal="center" vertical="top" wrapText="1"/>
    </xf>
    <xf numFmtId="164" fontId="19" fillId="4" borderId="0" xfId="3" applyFont="1" applyFill="1" applyAlignment="1">
      <alignment vertical="top" wrapText="1"/>
    </xf>
    <xf numFmtId="164" fontId="19" fillId="4" borderId="0" xfId="3" applyFont="1" applyFill="1" applyAlignment="1">
      <alignment vertical="top" wrapText="1" indent="1"/>
    </xf>
    <xf numFmtId="164" fontId="19" fillId="3" borderId="1" xfId="3" applyFont="1" applyFill="1" applyBorder="1" applyAlignment="1" applyProtection="1">
      <alignment vertical="top" wrapText="1"/>
      <protection locked="0"/>
    </xf>
    <xf numFmtId="164" fontId="19" fillId="13" borderId="0" xfId="3" applyFont="1" applyFill="1" applyAlignment="1">
      <alignment vertical="top"/>
    </xf>
    <xf numFmtId="164" fontId="19" fillId="14" borderId="0" xfId="3" applyFont="1" applyFill="1" applyAlignment="1">
      <alignment vertical="top"/>
    </xf>
    <xf numFmtId="164" fontId="19" fillId="4" borderId="0" xfId="3" applyFont="1" applyFill="1" applyAlignment="1">
      <alignment vertical="top" wrapText="1" indent="2"/>
    </xf>
    <xf numFmtId="164" fontId="19" fillId="8" borderId="0" xfId="3" applyFont="1" applyFill="1" applyAlignment="1">
      <alignment vertical="top"/>
    </xf>
    <xf numFmtId="164" fontId="19" fillId="0" borderId="9" xfId="3" applyFont="1" applyBorder="1"/>
    <xf numFmtId="164" fontId="19" fillId="7" borderId="0" xfId="3" applyFont="1" applyFill="1" applyAlignment="1">
      <alignment vertical="top"/>
    </xf>
    <xf numFmtId="164" fontId="19" fillId="0" borderId="0" xfId="3" applyFont="1" applyAlignment="1">
      <alignment vertical="top"/>
    </xf>
    <xf numFmtId="164" fontId="0" fillId="3" borderId="1" xfId="3" applyFont="1" applyFill="1" applyBorder="1" applyAlignment="1" applyProtection="1">
      <alignment vertical="top" wrapText="1"/>
      <protection locked="0"/>
    </xf>
    <xf numFmtId="0" fontId="5" fillId="2" borderId="0" xfId="0" applyFont="1" applyFill="1" applyAlignment="1">
      <alignment vertical="top"/>
    </xf>
    <xf numFmtId="0" fontId="23" fillId="3" borderId="0" xfId="0" applyFont="1" applyFill="1" applyAlignment="1">
      <alignment vertical="top"/>
    </xf>
    <xf numFmtId="0" fontId="5" fillId="4" borderId="4" xfId="0" applyFont="1" applyFill="1" applyBorder="1" applyAlignment="1">
      <alignment vertical="top" wrapText="1"/>
    </xf>
    <xf numFmtId="0" fontId="5" fillId="4" borderId="5" xfId="0" applyFont="1" applyFill="1" applyBorder="1" applyAlignment="1">
      <alignment vertical="top" wrapText="1"/>
    </xf>
    <xf numFmtId="0" fontId="5" fillId="4" borderId="2" xfId="0" applyFont="1" applyFill="1" applyBorder="1" applyAlignment="1">
      <alignment vertical="top" wrapText="1"/>
    </xf>
    <xf numFmtId="0" fontId="5" fillId="7" borderId="0" xfId="0" applyFont="1" applyFill="1" applyAlignment="1">
      <alignment vertical="top"/>
    </xf>
    <xf numFmtId="0" fontId="5" fillId="8" borderId="0" xfId="0" applyFont="1" applyFill="1" applyAlignment="1">
      <alignment vertical="top"/>
    </xf>
    <xf numFmtId="0" fontId="5" fillId="14" borderId="0" xfId="0" applyFont="1" applyFill="1" applyAlignment="1">
      <alignment vertical="top"/>
    </xf>
    <xf numFmtId="0" fontId="5" fillId="0" borderId="0" xfId="0" applyFont="1" applyAlignment="1">
      <alignment vertical="top"/>
    </xf>
    <xf numFmtId="0" fontId="13" fillId="3" borderId="0" xfId="0" applyFont="1" applyFill="1" applyAlignment="1">
      <alignment vertical="top"/>
    </xf>
    <xf numFmtId="164" fontId="5" fillId="3" borderId="0" xfId="3" applyFont="1" applyFill="1" applyAlignment="1">
      <alignment vertical="top"/>
    </xf>
    <xf numFmtId="164" fontId="5" fillId="2" borderId="0" xfId="3" applyFont="1" applyFill="1" applyAlignment="1">
      <alignment vertical="top"/>
    </xf>
    <xf numFmtId="164" fontId="5" fillId="2" borderId="0" xfId="3" applyFont="1" applyFill="1" applyAlignment="1">
      <alignment vertical="center"/>
    </xf>
    <xf numFmtId="164" fontId="23" fillId="3" borderId="0" xfId="3" applyFont="1" applyFill="1" applyAlignment="1">
      <alignment vertical="center"/>
    </xf>
    <xf numFmtId="164" fontId="5" fillId="3" borderId="0" xfId="3" applyFont="1" applyFill="1" applyAlignment="1">
      <alignment vertical="center"/>
    </xf>
    <xf numFmtId="168" fontId="5" fillId="3" borderId="0" xfId="3" applyNumberFormat="1" applyFont="1" applyFill="1" applyAlignment="1">
      <alignment vertical="top"/>
    </xf>
    <xf numFmtId="168" fontId="5" fillId="6" borderId="0" xfId="3" applyNumberFormat="1" applyFont="1" applyFill="1" applyAlignment="1">
      <alignment horizontal="right" vertical="top"/>
    </xf>
    <xf numFmtId="168" fontId="5" fillId="2" borderId="0" xfId="3" applyNumberFormat="1" applyFont="1" applyFill="1" applyAlignment="1">
      <alignment vertical="top"/>
    </xf>
    <xf numFmtId="168" fontId="23" fillId="3" borderId="0" xfId="3" applyNumberFormat="1" applyFont="1" applyFill="1" applyAlignment="1">
      <alignment vertical="top"/>
    </xf>
    <xf numFmtId="168" fontId="13" fillId="3" borderId="0" xfId="3" applyNumberFormat="1" applyFont="1" applyFill="1" applyAlignment="1">
      <alignment vertical="top"/>
    </xf>
    <xf numFmtId="168" fontId="5" fillId="15" borderId="0" xfId="3" applyNumberFormat="1" applyFont="1" applyFill="1" applyAlignment="1">
      <alignment horizontal="right" vertical="top"/>
    </xf>
    <xf numFmtId="164" fontId="5" fillId="3" borderId="1" xfId="3" applyFont="1" applyFill="1" applyBorder="1" applyAlignment="1" applyProtection="1">
      <alignment vertical="top" wrapText="1"/>
      <protection locked="0"/>
    </xf>
    <xf numFmtId="168" fontId="5" fillId="3" borderId="1" xfId="3" applyNumberFormat="1" applyFont="1" applyFill="1" applyBorder="1" applyAlignment="1" applyProtection="1">
      <alignment vertical="top" wrapText="1"/>
      <protection locked="0"/>
    </xf>
    <xf numFmtId="167" fontId="5" fillId="3" borderId="1" xfId="0" applyNumberFormat="1" applyFont="1" applyFill="1" applyBorder="1" applyAlignment="1" applyProtection="1">
      <alignment vertical="top" wrapText="1"/>
      <protection locked="0"/>
    </xf>
    <xf numFmtId="0" fontId="6" fillId="0" borderId="9" xfId="0" applyFont="1" applyBorder="1" applyAlignment="1">
      <alignment horizontal="center" vertical="top"/>
    </xf>
    <xf numFmtId="0" fontId="6" fillId="0" borderId="9" xfId="0" applyFont="1" applyBorder="1" applyAlignment="1">
      <alignment vertical="top" wrapText="1"/>
    </xf>
    <xf numFmtId="0" fontId="6" fillId="0" borderId="9" xfId="0" applyFont="1" applyBorder="1" applyAlignment="1">
      <alignment horizontal="left" vertical="top"/>
    </xf>
    <xf numFmtId="168" fontId="19" fillId="3" borderId="1" xfId="3" applyNumberFormat="1" applyFont="1" applyFill="1" applyBorder="1" applyAlignment="1" applyProtection="1">
      <alignment vertical="top" wrapText="1"/>
      <protection locked="0"/>
    </xf>
    <xf numFmtId="165" fontId="0" fillId="3" borderId="0" xfId="0" applyNumberFormat="1" applyFill="1" applyAlignment="1" applyProtection="1">
      <alignment horizontal="left" vertical="top"/>
      <protection locked="0"/>
    </xf>
    <xf numFmtId="0" fontId="0" fillId="3" borderId="0" xfId="0" applyFill="1" applyAlignment="1" applyProtection="1">
      <alignment horizontal="left" vertical="top"/>
      <protection locked="0"/>
    </xf>
    <xf numFmtId="0" fontId="0" fillId="11" borderId="0" xfId="0" applyFill="1" applyAlignment="1" applyProtection="1">
      <alignment horizontal="left" vertical="top"/>
      <protection locked="0"/>
    </xf>
    <xf numFmtId="165" fontId="0" fillId="11" borderId="0" xfId="0" applyNumberFormat="1" applyFill="1" applyAlignment="1">
      <alignment horizontal="left" vertical="top"/>
    </xf>
    <xf numFmtId="166" fontId="0" fillId="11" borderId="0" xfId="0" applyNumberFormat="1" applyFill="1" applyAlignment="1">
      <alignment horizontal="left" vertical="top"/>
    </xf>
    <xf numFmtId="164" fontId="19" fillId="6" borderId="0" xfId="3" applyFont="1" applyFill="1" applyAlignment="1" applyProtection="1">
      <alignment horizontal="right" vertical="top"/>
    </xf>
    <xf numFmtId="164" fontId="5" fillId="6" borderId="0" xfId="3" applyFont="1" applyFill="1" applyAlignment="1" applyProtection="1">
      <alignment horizontal="right" vertical="top"/>
    </xf>
    <xf numFmtId="168" fontId="5" fillId="3" borderId="0" xfId="3" applyNumberFormat="1" applyFont="1" applyFill="1" applyAlignment="1">
      <alignment vertical="center"/>
    </xf>
    <xf numFmtId="168" fontId="5" fillId="6" borderId="0" xfId="3" applyNumberFormat="1" applyFont="1" applyFill="1" applyAlignment="1">
      <alignment horizontal="right" vertical="center"/>
    </xf>
    <xf numFmtId="168" fontId="5" fillId="3" borderId="1" xfId="3" applyNumberFormat="1" applyFont="1" applyFill="1" applyBorder="1" applyAlignment="1" applyProtection="1">
      <alignment vertical="center" wrapText="1"/>
      <protection locked="0"/>
    </xf>
    <xf numFmtId="168" fontId="5" fillId="2" borderId="0" xfId="3" applyNumberFormat="1" applyFont="1" applyFill="1" applyAlignment="1">
      <alignment vertical="center"/>
    </xf>
    <xf numFmtId="164" fontId="26" fillId="16" borderId="1" xfId="3" applyFont="1" applyFill="1" applyBorder="1" applyAlignment="1" applyProtection="1">
      <alignment horizontal="right" vertical="top"/>
    </xf>
    <xf numFmtId="164" fontId="27" fillId="16" borderId="1" xfId="3" applyFont="1" applyFill="1" applyBorder="1" applyAlignment="1" applyProtection="1">
      <alignment horizontal="right" vertical="top"/>
    </xf>
    <xf numFmtId="0" fontId="13" fillId="3" borderId="0" xfId="0" applyFont="1" applyFill="1" applyAlignment="1">
      <alignment horizontal="right" vertical="top" wrapText="1"/>
    </xf>
    <xf numFmtId="0" fontId="13" fillId="3" borderId="10" xfId="0" applyFont="1" applyFill="1" applyBorder="1" applyAlignment="1">
      <alignment horizontal="right" vertical="top" wrapText="1"/>
    </xf>
    <xf numFmtId="164" fontId="19" fillId="4" borderId="4" xfId="3" applyFont="1" applyFill="1" applyBorder="1" applyAlignment="1">
      <alignment horizontal="left" vertical="top" wrapText="1" indent="2"/>
    </xf>
    <xf numFmtId="164" fontId="19" fillId="4" borderId="5" xfId="3" applyFont="1" applyFill="1" applyBorder="1" applyAlignment="1">
      <alignment vertical="top" wrapText="1" indent="2"/>
    </xf>
    <xf numFmtId="164" fontId="19" fillId="4" borderId="4" xfId="3" applyFont="1" applyFill="1" applyBorder="1" applyAlignment="1">
      <alignment horizontal="left" vertical="top" wrapText="1"/>
    </xf>
    <xf numFmtId="164" fontId="19" fillId="4" borderId="5" xfId="3" applyFont="1" applyFill="1" applyBorder="1" applyAlignment="1">
      <alignment vertical="top" wrapText="1"/>
    </xf>
    <xf numFmtId="164" fontId="19" fillId="4" borderId="4" xfId="3" applyFont="1" applyFill="1" applyBorder="1" applyAlignment="1">
      <alignment horizontal="left" vertical="top" wrapText="1" indent="1"/>
    </xf>
    <xf numFmtId="164" fontId="19" fillId="4" borderId="5" xfId="3" applyFont="1" applyFill="1" applyBorder="1" applyAlignment="1">
      <alignment horizontal="left" vertical="top" wrapText="1" indent="1"/>
    </xf>
    <xf numFmtId="164" fontId="19" fillId="4" borderId="5" xfId="3" applyFont="1" applyFill="1" applyBorder="1" applyAlignment="1">
      <alignment horizontal="left" vertical="top" wrapText="1" indent="2"/>
    </xf>
    <xf numFmtId="164" fontId="19" fillId="4" borderId="4" xfId="3" applyFont="1" applyFill="1" applyBorder="1" applyAlignment="1">
      <alignment horizontal="left" vertical="top" wrapText="1" indent="3"/>
    </xf>
    <xf numFmtId="164" fontId="19" fillId="4" borderId="5" xfId="3" applyFont="1" applyFill="1" applyBorder="1" applyAlignment="1">
      <alignment horizontal="left" vertical="top" wrapText="1" indent="3"/>
    </xf>
    <xf numFmtId="164" fontId="19" fillId="4" borderId="5" xfId="3" applyFont="1" applyFill="1" applyBorder="1" applyAlignment="1">
      <alignment vertical="top" wrapText="1" indent="1"/>
    </xf>
    <xf numFmtId="164" fontId="19" fillId="4" borderId="4" xfId="3" applyFont="1" applyFill="1" applyBorder="1" applyAlignment="1">
      <alignment horizontal="center" vertical="top" wrapText="1"/>
    </xf>
    <xf numFmtId="164" fontId="19" fillId="4" borderId="2" xfId="3" applyFont="1" applyFill="1" applyBorder="1" applyAlignment="1">
      <alignment vertical="top" wrapText="1"/>
    </xf>
    <xf numFmtId="164" fontId="19" fillId="4" borderId="3" xfId="3" applyFont="1" applyFill="1" applyBorder="1" applyAlignment="1">
      <alignment vertical="top" wrapText="1"/>
    </xf>
    <xf numFmtId="164" fontId="19" fillId="4" borderId="7" xfId="3" applyFont="1" applyFill="1" applyBorder="1" applyAlignment="1">
      <alignment horizontal="center" vertical="top" wrapText="1"/>
    </xf>
    <xf numFmtId="164" fontId="19" fillId="4" borderId="6" xfId="3" applyFont="1" applyFill="1" applyBorder="1" applyAlignment="1">
      <alignment vertical="top" wrapText="1"/>
    </xf>
    <xf numFmtId="164" fontId="21" fillId="3" borderId="0" xfId="3" applyFont="1" applyFill="1" applyAlignment="1">
      <alignment horizontal="center" vertical="top" wrapText="1"/>
    </xf>
    <xf numFmtId="164" fontId="19" fillId="3" borderId="0" xfId="3" applyFont="1" applyFill="1" applyAlignment="1">
      <alignment horizontal="center" vertical="top" wrapText="1"/>
    </xf>
    <xf numFmtId="164" fontId="22" fillId="5" borderId="0" xfId="3" applyFont="1" applyFill="1" applyAlignment="1" applyProtection="1">
      <alignment horizontal="left" vertical="top" wrapText="1"/>
      <protection locked="0"/>
    </xf>
    <xf numFmtId="164" fontId="19" fillId="3" borderId="0" xfId="3" applyFont="1" applyFill="1" applyAlignment="1">
      <alignment horizontal="right" vertical="top" wrapText="1"/>
    </xf>
    <xf numFmtId="0" fontId="5" fillId="4" borderId="4" xfId="0" applyFont="1" applyFill="1" applyBorder="1" applyAlignment="1">
      <alignment horizontal="left" vertical="top" wrapText="1" indent="1"/>
    </xf>
    <xf numFmtId="0" fontId="5" fillId="4" borderId="5" xfId="0" applyFont="1" applyFill="1" applyBorder="1" applyAlignment="1">
      <alignment vertical="top" wrapText="1" indent="1"/>
    </xf>
    <xf numFmtId="0" fontId="13" fillId="4" borderId="4" xfId="0" applyFont="1" applyFill="1" applyBorder="1" applyAlignment="1">
      <alignment horizontal="left" vertical="top" wrapText="1"/>
    </xf>
    <xf numFmtId="0" fontId="13" fillId="4" borderId="5" xfId="0" applyFont="1" applyFill="1" applyBorder="1" applyAlignment="1">
      <alignment vertical="top" wrapText="1"/>
    </xf>
    <xf numFmtId="0" fontId="5" fillId="4" borderId="4" xfId="0" applyFont="1" applyFill="1" applyBorder="1" applyAlignment="1">
      <alignment horizontal="left" vertical="top" wrapText="1"/>
    </xf>
    <xf numFmtId="0" fontId="5" fillId="4" borderId="5" xfId="0" applyFont="1" applyFill="1" applyBorder="1" applyAlignment="1">
      <alignment vertical="top" wrapText="1"/>
    </xf>
    <xf numFmtId="164" fontId="5" fillId="3" borderId="1" xfId="3" applyFont="1" applyFill="1" applyBorder="1" applyAlignment="1" applyProtection="1">
      <alignment vertical="top" wrapText="1"/>
      <protection locked="0"/>
    </xf>
    <xf numFmtId="0" fontId="5" fillId="4" borderId="5" xfId="0" applyFont="1" applyFill="1" applyBorder="1" applyAlignment="1">
      <alignment horizontal="left" vertical="top" wrapText="1" indent="1"/>
    </xf>
    <xf numFmtId="0" fontId="5" fillId="4" borderId="4" xfId="0" applyFont="1" applyFill="1" applyBorder="1" applyAlignment="1">
      <alignment horizontal="left" vertical="top" wrapText="1" indent="4"/>
    </xf>
    <xf numFmtId="0" fontId="5" fillId="4" borderId="5" xfId="0" applyFont="1" applyFill="1" applyBorder="1" applyAlignment="1">
      <alignment vertical="top" wrapText="1" indent="4"/>
    </xf>
    <xf numFmtId="0" fontId="13" fillId="4" borderId="4" xfId="0" applyFont="1" applyFill="1" applyBorder="1" applyAlignment="1">
      <alignment horizontal="left" vertical="top" wrapText="1" indent="3"/>
    </xf>
    <xf numFmtId="0" fontId="13" fillId="4" borderId="5" xfId="0" applyFont="1" applyFill="1" applyBorder="1" applyAlignment="1">
      <alignment vertical="top" wrapText="1" indent="3"/>
    </xf>
    <xf numFmtId="0" fontId="5" fillId="4" borderId="4" xfId="0" applyFont="1" applyFill="1" applyBorder="1" applyAlignment="1">
      <alignment horizontal="left" vertical="top" wrapText="1" indent="2"/>
    </xf>
    <xf numFmtId="0" fontId="5" fillId="4" borderId="5" xfId="0" applyFont="1" applyFill="1" applyBorder="1" applyAlignment="1">
      <alignment horizontal="left" vertical="top" wrapText="1" indent="2"/>
    </xf>
    <xf numFmtId="0" fontId="5" fillId="4" borderId="4" xfId="0" applyFont="1" applyFill="1" applyBorder="1" applyAlignment="1">
      <alignment horizontal="left" vertical="top" wrapText="1" indent="3"/>
    </xf>
    <xf numFmtId="0" fontId="5" fillId="4" borderId="5" xfId="0" applyFont="1" applyFill="1" applyBorder="1" applyAlignment="1">
      <alignment vertical="top" wrapText="1" indent="3"/>
    </xf>
    <xf numFmtId="0" fontId="13" fillId="4" borderId="4" xfId="0" applyFont="1" applyFill="1" applyBorder="1" applyAlignment="1">
      <alignment horizontal="left" vertical="top" wrapText="1" indent="2"/>
    </xf>
    <xf numFmtId="0" fontId="13" fillId="4" borderId="5" xfId="0" applyFont="1" applyFill="1" applyBorder="1" applyAlignment="1">
      <alignment vertical="top" wrapText="1" indent="2"/>
    </xf>
    <xf numFmtId="0" fontId="13" fillId="4" borderId="5" xfId="0" applyFont="1" applyFill="1" applyBorder="1" applyAlignment="1">
      <alignment horizontal="left" vertical="top" wrapText="1"/>
    </xf>
    <xf numFmtId="0" fontId="5" fillId="4" borderId="4" xfId="0" quotePrefix="1" applyFont="1" applyFill="1" applyBorder="1" applyAlignment="1">
      <alignment horizontal="left" vertical="top" wrapText="1" indent="2"/>
    </xf>
    <xf numFmtId="0" fontId="5" fillId="4" borderId="5" xfId="0" quotePrefix="1" applyFont="1" applyFill="1" applyBorder="1" applyAlignment="1">
      <alignment horizontal="left" vertical="top" wrapText="1" indent="2"/>
    </xf>
    <xf numFmtId="0" fontId="13" fillId="3" borderId="0" xfId="0" applyFont="1" applyFill="1" applyAlignment="1">
      <alignment horizontal="center" vertical="top" wrapText="1"/>
    </xf>
    <xf numFmtId="0" fontId="5" fillId="3" borderId="0" xfId="0" applyFont="1" applyFill="1" applyAlignment="1">
      <alignment horizontal="center" vertical="top" wrapText="1"/>
    </xf>
    <xf numFmtId="0" fontId="24" fillId="5" borderId="0" xfId="0" applyFont="1" applyFill="1" applyAlignment="1" applyProtection="1">
      <alignment horizontal="left" vertical="top" wrapText="1"/>
      <protection locked="0"/>
    </xf>
    <xf numFmtId="0" fontId="5" fillId="3" borderId="0" xfId="0" applyFont="1" applyFill="1" applyAlignment="1">
      <alignment horizontal="right" vertical="top" wrapText="1"/>
    </xf>
    <xf numFmtId="164" fontId="5" fillId="4" borderId="7" xfId="3" applyFont="1" applyFill="1" applyBorder="1" applyAlignment="1">
      <alignment horizontal="center" vertical="top" wrapText="1"/>
    </xf>
    <xf numFmtId="164" fontId="5" fillId="4" borderId="4" xfId="3" applyFont="1" applyFill="1" applyBorder="1" applyAlignment="1">
      <alignment horizontal="center" vertical="top" wrapText="1"/>
    </xf>
    <xf numFmtId="164" fontId="5" fillId="4" borderId="5" xfId="3" applyFont="1" applyFill="1" applyBorder="1" applyAlignment="1">
      <alignment vertical="top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4" xfId="0" quotePrefix="1" applyFont="1" applyFill="1" applyBorder="1" applyAlignment="1">
      <alignment horizontal="left" vertical="top" wrapText="1" indent="5"/>
    </xf>
    <xf numFmtId="0" fontId="5" fillId="4" borderId="5" xfId="0" applyFont="1" applyFill="1" applyBorder="1" applyAlignment="1">
      <alignment horizontal="left" vertical="top" wrapText="1" indent="5"/>
    </xf>
    <xf numFmtId="164" fontId="5" fillId="4" borderId="4" xfId="3" applyFont="1" applyFill="1" applyBorder="1" applyAlignment="1">
      <alignment horizontal="left" vertical="top" wrapText="1"/>
    </xf>
    <xf numFmtId="164" fontId="5" fillId="4" borderId="4" xfId="3" applyFont="1" applyFill="1" applyBorder="1" applyAlignment="1">
      <alignment horizontal="left" vertical="top" wrapText="1" indent="1"/>
    </xf>
    <xf numFmtId="164" fontId="5" fillId="4" borderId="5" xfId="3" applyFont="1" applyFill="1" applyBorder="1" applyAlignment="1">
      <alignment vertical="top" wrapText="1" indent="1"/>
    </xf>
    <xf numFmtId="164" fontId="5" fillId="4" borderId="4" xfId="3" applyFont="1" applyFill="1" applyBorder="1" applyAlignment="1">
      <alignment horizontal="left" vertical="center" wrapText="1" indent="1"/>
    </xf>
    <xf numFmtId="164" fontId="5" fillId="4" borderId="5" xfId="3" applyFont="1" applyFill="1" applyBorder="1" applyAlignment="1">
      <alignment horizontal="left" vertical="center" wrapText="1" indent="1"/>
    </xf>
    <xf numFmtId="168" fontId="5" fillId="3" borderId="1" xfId="3" applyNumberFormat="1" applyFont="1" applyFill="1" applyBorder="1" applyAlignment="1" applyProtection="1">
      <alignment vertical="center" wrapText="1"/>
      <protection locked="0"/>
    </xf>
    <xf numFmtId="164" fontId="5" fillId="4" borderId="2" xfId="3" applyFont="1" applyFill="1" applyBorder="1" applyAlignment="1">
      <alignment vertical="top" wrapText="1"/>
    </xf>
    <xf numFmtId="164" fontId="5" fillId="4" borderId="3" xfId="3" applyFont="1" applyFill="1" applyBorder="1" applyAlignment="1">
      <alignment vertical="top" wrapText="1"/>
    </xf>
    <xf numFmtId="168" fontId="5" fillId="4" borderId="7" xfId="3" applyNumberFormat="1" applyFont="1" applyFill="1" applyBorder="1" applyAlignment="1">
      <alignment horizontal="center" vertical="center" wrapText="1"/>
    </xf>
    <xf numFmtId="168" fontId="5" fillId="4" borderId="4" xfId="3" applyNumberFormat="1" applyFont="1" applyFill="1" applyBorder="1" applyAlignment="1">
      <alignment horizontal="center" vertical="center" wrapText="1"/>
    </xf>
    <xf numFmtId="168" fontId="5" fillId="4" borderId="5" xfId="3" applyNumberFormat="1" applyFont="1" applyFill="1" applyBorder="1" applyAlignment="1">
      <alignment vertical="center" wrapText="1"/>
    </xf>
    <xf numFmtId="164" fontId="13" fillId="3" borderId="0" xfId="3" applyFont="1" applyFill="1" applyAlignment="1">
      <alignment horizontal="center" vertical="top" wrapText="1"/>
    </xf>
    <xf numFmtId="164" fontId="5" fillId="3" borderId="0" xfId="3" applyFont="1" applyFill="1" applyAlignment="1">
      <alignment horizontal="center" vertical="top" wrapText="1"/>
    </xf>
    <xf numFmtId="164" fontId="24" fillId="5" borderId="0" xfId="3" applyFont="1" applyFill="1" applyAlignment="1" applyProtection="1">
      <alignment horizontal="left" vertical="top" wrapText="1"/>
      <protection locked="0"/>
    </xf>
    <xf numFmtId="164" fontId="5" fillId="3" borderId="0" xfId="3" applyFont="1" applyFill="1" applyAlignment="1">
      <alignment horizontal="right" vertical="top" wrapText="1"/>
    </xf>
    <xf numFmtId="168" fontId="5" fillId="4" borderId="4" xfId="3" applyNumberFormat="1" applyFont="1" applyFill="1" applyBorder="1" applyAlignment="1">
      <alignment horizontal="left" vertical="top" wrapText="1"/>
    </xf>
    <xf numFmtId="168" fontId="5" fillId="4" borderId="5" xfId="3" applyNumberFormat="1" applyFont="1" applyFill="1" applyBorder="1" applyAlignment="1">
      <alignment vertical="top" wrapText="1"/>
    </xf>
    <xf numFmtId="168" fontId="5" fillId="4" borderId="4" xfId="3" applyNumberFormat="1" applyFont="1" applyFill="1" applyBorder="1" applyAlignment="1">
      <alignment horizontal="left" vertical="top" wrapText="1" indent="1"/>
    </xf>
    <xf numFmtId="168" fontId="5" fillId="4" borderId="5" xfId="3" applyNumberFormat="1" applyFont="1" applyFill="1" applyBorder="1" applyAlignment="1">
      <alignment vertical="top" wrapText="1" indent="1"/>
    </xf>
    <xf numFmtId="168" fontId="5" fillId="3" borderId="1" xfId="3" applyNumberFormat="1" applyFont="1" applyFill="1" applyBorder="1" applyAlignment="1" applyProtection="1">
      <alignment vertical="top" wrapText="1"/>
      <protection locked="0"/>
    </xf>
    <xf numFmtId="168" fontId="13" fillId="4" borderId="4" xfId="3" applyNumberFormat="1" applyFont="1" applyFill="1" applyBorder="1" applyAlignment="1">
      <alignment horizontal="left" vertical="top" wrapText="1"/>
    </xf>
    <xf numFmtId="168" fontId="13" fillId="4" borderId="5" xfId="3" applyNumberFormat="1" applyFont="1" applyFill="1" applyBorder="1" applyAlignment="1">
      <alignment vertical="top" wrapText="1"/>
    </xf>
    <xf numFmtId="168" fontId="5" fillId="4" borderId="7" xfId="3" applyNumberFormat="1" applyFont="1" applyFill="1" applyBorder="1" applyAlignment="1">
      <alignment horizontal="center" vertical="top" wrapText="1"/>
    </xf>
    <xf numFmtId="168" fontId="5" fillId="4" borderId="4" xfId="3" applyNumberFormat="1" applyFont="1" applyFill="1" applyBorder="1" applyAlignment="1">
      <alignment horizontal="center" vertical="top" wrapText="1"/>
    </xf>
    <xf numFmtId="168" fontId="5" fillId="4" borderId="8" xfId="3" applyNumberFormat="1" applyFont="1" applyFill="1" applyBorder="1" applyAlignment="1">
      <alignment vertical="top" wrapText="1"/>
    </xf>
    <xf numFmtId="168" fontId="13" fillId="3" borderId="0" xfId="3" applyNumberFormat="1" applyFont="1" applyFill="1" applyAlignment="1">
      <alignment horizontal="center" vertical="top" wrapText="1"/>
    </xf>
    <xf numFmtId="168" fontId="5" fillId="3" borderId="0" xfId="3" applyNumberFormat="1" applyFont="1" applyFill="1" applyAlignment="1">
      <alignment horizontal="center" vertical="top" wrapText="1"/>
    </xf>
    <xf numFmtId="168" fontId="24" fillId="5" borderId="0" xfId="3" applyNumberFormat="1" applyFont="1" applyFill="1" applyAlignment="1" applyProtection="1">
      <alignment horizontal="left" vertical="top" wrapText="1"/>
      <protection locked="0"/>
    </xf>
    <xf numFmtId="168" fontId="5" fillId="3" borderId="0" xfId="3" applyNumberFormat="1" applyFont="1" applyFill="1" applyAlignment="1">
      <alignment horizontal="right" vertical="top" wrapText="1"/>
    </xf>
    <xf numFmtId="168" fontId="5" fillId="4" borderId="2" xfId="3" applyNumberFormat="1" applyFont="1" applyFill="1" applyBorder="1" applyAlignment="1">
      <alignment vertical="top" wrapText="1"/>
    </xf>
    <xf numFmtId="168" fontId="5" fillId="4" borderId="3" xfId="3" applyNumberFormat="1" applyFont="1" applyFill="1" applyBorder="1" applyAlignment="1">
      <alignment vertical="top" wrapText="1"/>
    </xf>
  </cellXfs>
  <cellStyles count="4">
    <cellStyle name="Comma" xfId="3" builtinId="3"/>
    <cellStyle name="Normal" xfId="0" builtinId="0"/>
    <cellStyle name="Normal 2" xfId="1" xr:uid="{00000000-0005-0000-0000-000001000000}"/>
    <cellStyle name="Normal 2 2" xfId="2" xr:uid="{00000000-0005-0000-0000-000002000000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C0CB"/>
        </patternFill>
      </fill>
    </dxf>
    <dxf>
      <fill>
        <patternFill patternType="solid">
          <bgColor rgb="FF90EE9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6.bin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customProperty" Target="../customProperty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F5"/>
  <sheetViews>
    <sheetView showGridLines="0" workbookViewId="0">
      <selection activeCell="F1" sqref="F1"/>
    </sheetView>
  </sheetViews>
  <sheetFormatPr defaultColWidth="9.140625" defaultRowHeight="15"/>
  <cols>
    <col min="1" max="1" width="11.85546875" style="1" customWidth="1"/>
    <col min="2" max="2" width="14.42578125" style="1" customWidth="1"/>
    <col min="3" max="3" width="18.85546875" style="1" bestFit="1" customWidth="1"/>
    <col min="4" max="4" width="14.85546875" style="1" bestFit="1" customWidth="1"/>
    <col min="5" max="5" width="9.140625" style="1"/>
    <col min="6" max="6" width="39.85546875" style="1" bestFit="1" customWidth="1"/>
    <col min="7" max="16384" width="9.140625" style="1"/>
  </cols>
  <sheetData>
    <row r="1" spans="2:6">
      <c r="B1" s="10" t="s">
        <v>0</v>
      </c>
      <c r="C1" s="10" t="s">
        <v>1</v>
      </c>
      <c r="D1" s="1" t="s">
        <v>2</v>
      </c>
      <c r="E1" s="1" t="s">
        <v>3</v>
      </c>
      <c r="F1" s="10" t="s">
        <v>4</v>
      </c>
    </row>
    <row r="2" spans="2:6">
      <c r="B2" s="10" t="s">
        <v>5</v>
      </c>
      <c r="C2" s="10" t="s">
        <v>6</v>
      </c>
      <c r="D2" s="1" t="s">
        <v>7</v>
      </c>
      <c r="E2" s="1" t="s">
        <v>8</v>
      </c>
      <c r="F2" s="10" t="s">
        <v>9</v>
      </c>
    </row>
    <row r="3" spans="2:6">
      <c r="C3" s="10" t="s">
        <v>10</v>
      </c>
      <c r="D3" s="1" t="s">
        <v>11</v>
      </c>
      <c r="E3" s="1" t="s">
        <v>12</v>
      </c>
      <c r="F3" s="10" t="s">
        <v>13</v>
      </c>
    </row>
    <row r="4" spans="2:6">
      <c r="E4" s="1" t="s">
        <v>14</v>
      </c>
      <c r="F4" s="10" t="s">
        <v>15</v>
      </c>
    </row>
    <row r="5" spans="2:6">
      <c r="E5" s="10" t="s">
        <v>16</v>
      </c>
      <c r="F5" s="10" t="s">
        <v>17</v>
      </c>
    </row>
  </sheetData>
  <sheetProtection algorithmName="SHA-512" hashValue="KGfZISZ+oX18pW9EESJaWi8cuGi3iAD1zusRWydBab8BXhGSKDdUhi3nAO2N/ZiAb0LBleUEL+CXTQrnVqVRLQ==" saltValue="wFtd5s3qa3lUhOpT/LN4vQ==" spinCount="100000" sheet="1" formatColumns="0" formatRows="0"/>
  <pageMargins left="0.7" right="0.7" top="0.75" bottom="0.75" header="0.3" footer="0.3"/>
  <customProperties>
    <customPr name="QAA_DRILLPATH_NODE_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5"/>
  </sheetPr>
  <dimension ref="A1:B13"/>
  <sheetViews>
    <sheetView workbookViewId="0">
      <selection sqref="A1:XFD1048576"/>
    </sheetView>
  </sheetViews>
  <sheetFormatPr defaultColWidth="9.140625" defaultRowHeight="15"/>
  <cols>
    <col min="1" max="1" width="3.140625" customWidth="1"/>
    <col min="2" max="2" width="148.85546875" bestFit="1" customWidth="1"/>
  </cols>
  <sheetData>
    <row r="1" spans="1:2">
      <c r="A1" s="14" t="s">
        <v>18</v>
      </c>
      <c r="B1" s="15"/>
    </row>
    <row r="2" spans="1:2">
      <c r="A2" s="15"/>
      <c r="B2" s="15"/>
    </row>
    <row r="3" spans="1:2">
      <c r="A3" s="16">
        <v>1</v>
      </c>
      <c r="B3" s="15" t="s">
        <v>19</v>
      </c>
    </row>
    <row r="4" spans="1:2">
      <c r="A4" s="16">
        <v>2</v>
      </c>
      <c r="B4" s="17" t="s">
        <v>20</v>
      </c>
    </row>
    <row r="5" spans="1:2">
      <c r="A5" s="16">
        <v>3</v>
      </c>
      <c r="B5" s="15" t="s">
        <v>21</v>
      </c>
    </row>
    <row r="6" spans="1:2">
      <c r="A6" s="16">
        <v>4</v>
      </c>
      <c r="B6" s="17" t="s">
        <v>22</v>
      </c>
    </row>
    <row r="7" spans="1:2">
      <c r="A7" s="16">
        <v>5</v>
      </c>
      <c r="B7" s="17" t="s">
        <v>23</v>
      </c>
    </row>
    <row r="8" spans="1:2">
      <c r="A8" s="16">
        <v>6</v>
      </c>
      <c r="B8" s="15" t="s">
        <v>24</v>
      </c>
    </row>
    <row r="9" spans="1:2">
      <c r="A9" s="16">
        <v>7</v>
      </c>
      <c r="B9" s="15" t="s">
        <v>25</v>
      </c>
    </row>
    <row r="10" spans="1:2">
      <c r="A10" s="16">
        <v>8</v>
      </c>
      <c r="B10" s="15" t="s">
        <v>26</v>
      </c>
    </row>
    <row r="11" spans="1:2">
      <c r="A11" s="16">
        <v>9</v>
      </c>
      <c r="B11" s="15" t="s">
        <v>27</v>
      </c>
    </row>
    <row r="12" spans="1:2">
      <c r="A12" s="16">
        <v>10</v>
      </c>
      <c r="B12" s="17" t="s">
        <v>28</v>
      </c>
    </row>
    <row r="13" spans="1:2">
      <c r="A13" s="16">
        <v>11</v>
      </c>
      <c r="B13" s="17" t="s">
        <v>29</v>
      </c>
    </row>
  </sheetData>
  <sheetProtection algorithmName="SHA-512" hashValue="WwGqe/C07W9F0McH2UqkBuj6RyAwmw0TwG2B9bwe1fN339r7pVN5JQ7nu0FtoUaAdnm9kB59H5VJd4WMFVReLw==" saltValue="VVVQ/30edjr/ICFnMIN2ug==" spinCount="100000" sheet="1" objects="1" scenarios="1"/>
  <pageMargins left="0.7" right="0.7" top="0.75" bottom="0.75" header="0.3" footer="0.3"/>
  <pageSetup paperSize="9" orientation="portrait" horizontalDpi="4294967294" verticalDpi="0" r:id="rId1"/>
  <customProperties>
    <customPr name="QAA_DRILLPATH_NODE_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theme="5"/>
  </sheetPr>
  <dimension ref="B2:H19"/>
  <sheetViews>
    <sheetView showGridLines="0" zoomScale="85" zoomScaleNormal="85" workbookViewId="0">
      <selection sqref="A1:XFD1048576"/>
    </sheetView>
  </sheetViews>
  <sheetFormatPr defaultColWidth="9.140625" defaultRowHeight="15"/>
  <cols>
    <col min="1" max="1" width="10.5703125" style="1" customWidth="1"/>
    <col min="2" max="2" width="3.140625" style="1" customWidth="1"/>
    <col min="3" max="3" width="10" style="1" customWidth="1"/>
    <col min="4" max="4" width="20" style="1" customWidth="1"/>
    <col min="5" max="5" width="63.5703125" style="13" customWidth="1"/>
    <col min="6" max="6" width="26.85546875" style="1" hidden="1" customWidth="1"/>
    <col min="7" max="7" width="20" style="1" customWidth="1"/>
    <col min="8" max="8" width="15.140625" style="1" customWidth="1"/>
    <col min="9" max="9" width="9.140625" style="1" customWidth="1"/>
    <col min="10" max="16384" width="9.140625" style="1"/>
  </cols>
  <sheetData>
    <row r="2" spans="2:8" ht="5.0999999999999996" customHeight="1">
      <c r="B2" s="2"/>
      <c r="C2" s="2"/>
      <c r="D2" s="2"/>
      <c r="E2" s="12"/>
      <c r="F2" s="2"/>
      <c r="G2" s="2"/>
      <c r="H2" s="2"/>
    </row>
    <row r="3" spans="2:8" hidden="1">
      <c r="B3" s="2"/>
      <c r="C3" s="2"/>
      <c r="D3" s="2"/>
      <c r="E3" s="12"/>
      <c r="F3" s="2"/>
      <c r="G3" s="2"/>
      <c r="H3" s="2"/>
    </row>
    <row r="4" spans="2:8" hidden="1">
      <c r="B4" s="2"/>
      <c r="C4" s="2"/>
      <c r="D4" s="2"/>
      <c r="E4" s="12"/>
      <c r="F4" s="2"/>
      <c r="G4" s="2"/>
      <c r="H4" s="2"/>
    </row>
    <row r="5" spans="2:8" hidden="1">
      <c r="B5" s="2"/>
      <c r="C5" s="2"/>
      <c r="D5" s="2"/>
      <c r="E5" s="12"/>
      <c r="F5" s="2"/>
      <c r="G5" s="2"/>
      <c r="H5" s="2"/>
    </row>
    <row r="6" spans="2:8" hidden="1">
      <c r="B6" s="2"/>
      <c r="C6" s="2"/>
      <c r="D6" s="2"/>
      <c r="E6" s="12"/>
      <c r="F6" s="2"/>
      <c r="G6" s="2"/>
      <c r="H6" s="2"/>
    </row>
    <row r="7" spans="2:8" ht="15.75">
      <c r="B7" s="2"/>
      <c r="C7" s="7"/>
      <c r="D7" s="2"/>
      <c r="E7" s="85" t="s">
        <v>30</v>
      </c>
      <c r="F7" s="86"/>
      <c r="G7" s="20" t="str">
        <f>IF(AND(G10="OK",G11="OK",G12="OK",G13="OK",G14="OK",G15="OK",G16="OK",G17="OK",G18="OK",G19="OK"),"OK","NOT OK")</f>
        <v>OK</v>
      </c>
      <c r="H7" s="2"/>
    </row>
    <row r="8" spans="2:8">
      <c r="B8" s="2"/>
      <c r="C8" s="2"/>
      <c r="D8" s="2"/>
      <c r="E8" s="12"/>
      <c r="F8" s="2"/>
      <c r="G8" s="2"/>
      <c r="H8" s="2"/>
    </row>
    <row r="9" spans="2:8">
      <c r="B9" s="2"/>
      <c r="C9" s="21" t="s">
        <v>31</v>
      </c>
      <c r="D9" s="21" t="s">
        <v>32</v>
      </c>
      <c r="E9" s="22" t="s">
        <v>33</v>
      </c>
      <c r="F9" s="21" t="s">
        <v>34</v>
      </c>
      <c r="G9" s="21" t="s">
        <v>35</v>
      </c>
      <c r="H9" s="2"/>
    </row>
    <row r="10" spans="2:8" ht="25.5">
      <c r="B10" s="2"/>
      <c r="C10" s="18">
        <v>1</v>
      </c>
      <c r="D10" s="18" t="s">
        <v>36</v>
      </c>
      <c r="E10" s="19" t="s">
        <v>37</v>
      </c>
      <c r="F10" s="23" t="s">
        <v>38</v>
      </c>
      <c r="G10" s="20" t="str">
        <f>IF(OR(('Laporan Posisi Keuangan'!G44-'Laporan Posisi Keuangan'!G84)&gt;=3,('Laporan Posisi Keuangan'!G44-'Laporan Posisi Keuangan'!G84)&lt;=-3),"NOT OK","OK")</f>
        <v>OK</v>
      </c>
      <c r="H10" s="2"/>
    </row>
    <row r="11" spans="2:8" ht="25.5">
      <c r="B11" s="2"/>
      <c r="C11" s="18">
        <v>2</v>
      </c>
      <c r="D11" s="18" t="s">
        <v>36</v>
      </c>
      <c r="E11" s="19" t="s">
        <v>39</v>
      </c>
      <c r="F11" s="23" t="s">
        <v>40</v>
      </c>
      <c r="G11" s="20" t="str">
        <f>IF(OR(('Laporan Posisi Keuangan'!H44-'Laporan Posisi Keuangan'!H84)&gt;=3,('Laporan Posisi Keuangan'!H44-'Laporan Posisi Keuangan'!H84)&lt;=-3),"NOT OK","OK")</f>
        <v>OK</v>
      </c>
      <c r="H11" s="2"/>
    </row>
    <row r="12" spans="2:8" ht="25.5">
      <c r="B12" s="2"/>
      <c r="C12" s="18">
        <v>3</v>
      </c>
      <c r="D12" s="18" t="s">
        <v>41</v>
      </c>
      <c r="E12" s="19" t="s">
        <v>42</v>
      </c>
      <c r="F12" s="23" t="s">
        <v>43</v>
      </c>
      <c r="G12" s="20" t="str">
        <f>IF(OR(('Laporan Arus Kas'!E49-'Laporan Posisi Keuangan'!G17-'Laporan Posisi Keuangan'!G18)&gt;=3,('Laporan Arus Kas'!E49-'Laporan Posisi Keuangan'!G17-'Laporan Posisi Keuangan'!G18)&lt;=-3),"NOT OK","OK")</f>
        <v>OK</v>
      </c>
      <c r="H12" s="2"/>
    </row>
    <row r="13" spans="2:8" ht="25.5">
      <c r="B13" s="2"/>
      <c r="C13" s="18">
        <v>4</v>
      </c>
      <c r="D13" s="18" t="s">
        <v>41</v>
      </c>
      <c r="E13" s="19" t="s">
        <v>44</v>
      </c>
      <c r="F13" s="23" t="s">
        <v>45</v>
      </c>
      <c r="G13" s="20" t="str">
        <f>IF(OR(('Laporan Arus Kas'!F49-'Laporan Posisi Keuangan'!H17-'Laporan Posisi Keuangan'!H18)&gt;=3,('Laporan Arus Kas'!F49-'Laporan Posisi Keuangan'!H17-'Laporan Posisi Keuangan'!H18)&lt;=-3),"NOT OK","OK")</f>
        <v>OK</v>
      </c>
      <c r="H13" s="2"/>
    </row>
    <row r="14" spans="2:8" ht="25.5">
      <c r="B14" s="2"/>
      <c r="C14" s="68">
        <v>5</v>
      </c>
      <c r="D14" s="68" t="s">
        <v>46</v>
      </c>
      <c r="E14" s="69" t="s">
        <v>47</v>
      </c>
      <c r="F14" s="70" t="s">
        <v>48</v>
      </c>
      <c r="G14" s="20" t="str">
        <f>IF(OR(('Laporan Laba Rugi'!E68-'Laporan Laba Rugi'!E78)&gt;=3,('Laporan Laba Rugi'!E68-'Laporan Laba Rugi'!E78)&lt;=-3),"NOT OK","OK")</f>
        <v>OK</v>
      </c>
      <c r="H14" s="2"/>
    </row>
    <row r="15" spans="2:8" ht="25.5">
      <c r="B15" s="2"/>
      <c r="C15" s="68">
        <v>6</v>
      </c>
      <c r="D15" s="68" t="s">
        <v>46</v>
      </c>
      <c r="E15" s="69" t="s">
        <v>49</v>
      </c>
      <c r="F15" s="70" t="s">
        <v>50</v>
      </c>
      <c r="G15" s="20" t="str">
        <f>IF(OR(('Laporan Laba Rugi'!F68-'Laporan Laba Rugi'!F78)&gt;=3,('Laporan Laba Rugi'!F68-'Laporan Laba Rugi'!F78)&lt;=-3),"NOT OK","OK")</f>
        <v>OK</v>
      </c>
      <c r="H15" s="2"/>
    </row>
    <row r="16" spans="2:8" ht="25.5">
      <c r="B16" s="2"/>
      <c r="C16" s="68">
        <v>7</v>
      </c>
      <c r="D16" s="68" t="s">
        <v>46</v>
      </c>
      <c r="E16" s="69" t="s">
        <v>51</v>
      </c>
      <c r="F16" s="70" t="s">
        <v>52</v>
      </c>
      <c r="G16" s="20" t="str">
        <f>IF(OR(('Laporan Laba Rugi'!E74-'Laporan Laba Rugi'!E82)&gt;=3,('Laporan Laba Rugi'!E74-'Laporan Laba Rugi'!E82)&lt;=-3),"NOT OK","OK")</f>
        <v>OK</v>
      </c>
      <c r="H16" s="2"/>
    </row>
    <row r="17" spans="2:8" ht="38.25">
      <c r="B17" s="2"/>
      <c r="C17" s="68">
        <v>8</v>
      </c>
      <c r="D17" s="68" t="s">
        <v>46</v>
      </c>
      <c r="E17" s="69" t="s">
        <v>53</v>
      </c>
      <c r="F17" s="70" t="s">
        <v>54</v>
      </c>
      <c r="G17" s="20" t="str">
        <f>IF(OR(('Laporan Laba Rugi'!F74-'Laporan Laba Rugi'!F82)&gt;=3,('Laporan Laba Rugi'!F74-'Laporan Laba Rugi'!F82)&lt;=-3),"NOT OK","OK")</f>
        <v>OK</v>
      </c>
      <c r="H17" s="2"/>
    </row>
    <row r="18" spans="2:8" ht="25.5">
      <c r="B18" s="2"/>
      <c r="C18" s="18">
        <v>9</v>
      </c>
      <c r="D18" s="18" t="s">
        <v>55</v>
      </c>
      <c r="E18" s="19" t="s">
        <v>56</v>
      </c>
      <c r="F18" s="23" t="s">
        <v>57</v>
      </c>
      <c r="G18" s="20" t="str">
        <f>IF(OR(('Laporan Posisi Keuangan'!G83-'Laporan Perubahan Ekuitas'!P28)&gt;=3,('Laporan Posisi Keuangan'!G83-'Laporan Perubahan Ekuitas'!P28)&lt;=-3),"NOT OK","OK")</f>
        <v>OK</v>
      </c>
      <c r="H18" s="2"/>
    </row>
    <row r="19" spans="2:8" ht="25.5">
      <c r="B19" s="2"/>
      <c r="C19" s="18">
        <v>10</v>
      </c>
      <c r="D19" s="18" t="s">
        <v>55</v>
      </c>
      <c r="E19" s="19" t="s">
        <v>58</v>
      </c>
      <c r="F19" s="23" t="s">
        <v>59</v>
      </c>
      <c r="G19" s="20" t="str">
        <f>IF(OR(('Laporan Posisi Keuangan'!H83-'Laporan Perubahan Ekuitas'!P23)&gt;=3,('Laporan Posisi Keuangan'!H83-'Laporan Perubahan Ekuitas'!P23)&lt;=-3),"NOT OK","OK")</f>
        <v>OK</v>
      </c>
      <c r="H19" s="2"/>
    </row>
  </sheetData>
  <sheetProtection algorithmName="SHA-512" hashValue="woR677ppL6I4DJJPyFxlS6y/xvQCeAJiLs6XIAtIg68WRn5IjT1FnQVBn06LF4hH4T8wFoXwXn/mmMx2cSWmNg==" saltValue="aX0IzbUQK5KNpDgiqPcd3Q==" spinCount="100000" sheet="1" formatColumns="0" formatRows="0"/>
  <mergeCells count="1">
    <mergeCell ref="E7:F7"/>
  </mergeCells>
  <conditionalFormatting sqref="G7 G10:G19">
    <cfRule type="cellIs" dxfId="4" priority="1" operator="equal">
      <formula>TRUE</formula>
    </cfRule>
    <cfRule type="cellIs" dxfId="3" priority="2" operator="equal">
      <formula>FALSE</formula>
    </cfRule>
  </conditionalFormatting>
  <pageMargins left="0.7" right="0.7" top="0.75" bottom="0.75" header="0.3" footer="0.3"/>
  <customProperties>
    <customPr name="QAA_DRILLPATH_NODE_ID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theme="0"/>
  </sheetPr>
  <dimension ref="B2:I28"/>
  <sheetViews>
    <sheetView showGridLines="0" workbookViewId="0">
      <selection sqref="A1:XFD1048576"/>
    </sheetView>
  </sheetViews>
  <sheetFormatPr defaultColWidth="9.140625" defaultRowHeight="15"/>
  <cols>
    <col min="1" max="1" width="9.140625" style="1" customWidth="1"/>
    <col min="2" max="2" width="17.140625" style="1" hidden="1" customWidth="1"/>
    <col min="3" max="3" width="47.42578125" style="1" customWidth="1"/>
    <col min="4" max="4" width="44.42578125" style="1" bestFit="1" customWidth="1"/>
    <col min="5" max="5" width="17.85546875" style="1" hidden="1" customWidth="1"/>
    <col min="6" max="6" width="6.5703125" style="1" hidden="1" customWidth="1"/>
    <col min="7" max="7" width="12.42578125" style="1" hidden="1" customWidth="1"/>
    <col min="8" max="8" width="10.5703125" style="1" hidden="1" customWidth="1"/>
    <col min="9" max="9" width="9.5703125" style="1" hidden="1" customWidth="1"/>
    <col min="10" max="10" width="16.5703125" style="1" customWidth="1"/>
    <col min="11" max="11" width="20.5703125" style="1" customWidth="1"/>
    <col min="12" max="16384" width="9.140625" style="1"/>
  </cols>
  <sheetData>
    <row r="2" spans="2:9" ht="5.0999999999999996" customHeight="1">
      <c r="B2" s="6" t="s">
        <v>60</v>
      </c>
      <c r="C2" s="2"/>
      <c r="D2" s="2"/>
      <c r="E2" s="2"/>
    </row>
    <row r="3" spans="2:9" ht="21">
      <c r="B3" s="6" t="s">
        <v>61</v>
      </c>
      <c r="C3" s="3" t="s">
        <v>62</v>
      </c>
      <c r="D3" s="2"/>
      <c r="E3" s="2"/>
      <c r="G3" s="5">
        <f>MONTH(D9)</f>
        <v>12</v>
      </c>
      <c r="H3" s="5">
        <v>1</v>
      </c>
      <c r="I3" s="5" t="s">
        <v>63</v>
      </c>
    </row>
    <row r="4" spans="2:9">
      <c r="B4" s="6"/>
      <c r="C4" s="4"/>
      <c r="D4" s="4"/>
      <c r="E4" s="9"/>
      <c r="G4" s="5" t="str">
        <f>VLOOKUP(G3,$H$3:$I$12,2,FALSE)</f>
        <v>Desember</v>
      </c>
      <c r="H4" s="5">
        <v>2</v>
      </c>
      <c r="I4" s="5" t="s">
        <v>64</v>
      </c>
    </row>
    <row r="5" spans="2:9">
      <c r="B5" s="24" t="s">
        <v>65</v>
      </c>
      <c r="C5" s="4" t="s">
        <v>66</v>
      </c>
      <c r="D5" s="72">
        <v>46098</v>
      </c>
      <c r="E5" s="9"/>
      <c r="H5" s="5">
        <v>3</v>
      </c>
      <c r="I5" s="5" t="s">
        <v>67</v>
      </c>
    </row>
    <row r="6" spans="2:9">
      <c r="B6" s="24" t="s">
        <v>68</v>
      </c>
      <c r="C6" s="4" t="s">
        <v>69</v>
      </c>
      <c r="D6" s="73" t="s">
        <v>70</v>
      </c>
      <c r="E6" s="9"/>
      <c r="H6" s="5">
        <v>4</v>
      </c>
      <c r="I6" s="5" t="s">
        <v>71</v>
      </c>
    </row>
    <row r="7" spans="2:9">
      <c r="B7" s="2" t="s">
        <v>72</v>
      </c>
      <c r="C7" s="4" t="s">
        <v>73</v>
      </c>
      <c r="D7" s="73" t="s">
        <v>74</v>
      </c>
      <c r="E7" s="9"/>
      <c r="H7" s="5">
        <v>5</v>
      </c>
      <c r="I7" s="5" t="s">
        <v>75</v>
      </c>
    </row>
    <row r="8" spans="2:9">
      <c r="B8" s="2" t="s">
        <v>76</v>
      </c>
      <c r="C8" s="25" t="s">
        <v>77</v>
      </c>
      <c r="D8" s="73" t="s">
        <v>78</v>
      </c>
      <c r="E8" s="9"/>
      <c r="H8" s="5">
        <v>6</v>
      </c>
      <c r="I8" s="5" t="s">
        <v>79</v>
      </c>
    </row>
    <row r="9" spans="2:9">
      <c r="B9" s="2" t="s">
        <v>80</v>
      </c>
      <c r="C9" s="4" t="s">
        <v>81</v>
      </c>
      <c r="D9" s="72">
        <v>46022</v>
      </c>
      <c r="H9" s="5">
        <v>9</v>
      </c>
      <c r="I9" s="5" t="s">
        <v>82</v>
      </c>
    </row>
    <row r="10" spans="2:9">
      <c r="B10" s="2" t="s">
        <v>83</v>
      </c>
      <c r="C10" s="4" t="s">
        <v>84</v>
      </c>
      <c r="D10" s="75" t="str">
        <f>IF(ISERR(G4), "", G4)</f>
        <v>Desember</v>
      </c>
      <c r="E10" s="9"/>
      <c r="H10" s="5">
        <v>10</v>
      </c>
      <c r="I10" s="5" t="s">
        <v>85</v>
      </c>
    </row>
    <row r="11" spans="2:9">
      <c r="B11" s="2" t="s">
        <v>86</v>
      </c>
      <c r="C11" s="4" t="s">
        <v>87</v>
      </c>
      <c r="D11" s="76">
        <f>IF(ISBLANK(D9),"",IFERROR(YEAR(D9), ""))</f>
        <v>2025</v>
      </c>
      <c r="E11" s="9"/>
      <c r="H11" s="5">
        <v>11</v>
      </c>
      <c r="I11" s="5" t="s">
        <v>88</v>
      </c>
    </row>
    <row r="12" spans="2:9">
      <c r="B12" s="2" t="s">
        <v>89</v>
      </c>
      <c r="C12" s="4" t="s">
        <v>90</v>
      </c>
      <c r="D12" s="74" t="s">
        <v>1</v>
      </c>
      <c r="E12" s="9"/>
      <c r="H12" s="5">
        <v>12</v>
      </c>
      <c r="I12" s="5" t="s">
        <v>91</v>
      </c>
    </row>
    <row r="13" spans="2:9">
      <c r="B13" s="2" t="s">
        <v>92</v>
      </c>
      <c r="C13" s="4" t="s">
        <v>93</v>
      </c>
      <c r="D13" s="73" t="s">
        <v>94</v>
      </c>
      <c r="E13" s="9"/>
    </row>
    <row r="14" spans="2:9">
      <c r="B14" s="2" t="s">
        <v>95</v>
      </c>
      <c r="C14" s="4" t="s">
        <v>96</v>
      </c>
      <c r="D14" s="73" t="s">
        <v>97</v>
      </c>
      <c r="E14" s="9"/>
    </row>
    <row r="15" spans="2:9">
      <c r="B15" s="2"/>
      <c r="C15" s="2"/>
      <c r="D15" s="2"/>
      <c r="E15" s="9"/>
    </row>
    <row r="16" spans="2:9" ht="21">
      <c r="B16" s="2"/>
      <c r="C16" s="3" t="s">
        <v>98</v>
      </c>
      <c r="D16" s="2"/>
      <c r="E16" s="9"/>
    </row>
    <row r="17" spans="2:5">
      <c r="B17" s="2" t="s">
        <v>99</v>
      </c>
      <c r="C17" s="11" t="s">
        <v>100</v>
      </c>
      <c r="D17" s="73" t="s">
        <v>101</v>
      </c>
      <c r="E17" s="9"/>
    </row>
    <row r="18" spans="2:5">
      <c r="B18" s="26" t="s">
        <v>102</v>
      </c>
      <c r="C18" s="8" t="s">
        <v>103</v>
      </c>
      <c r="D18" s="73" t="s">
        <v>104</v>
      </c>
    </row>
    <row r="19" spans="2:5">
      <c r="B19" s="26" t="s">
        <v>105</v>
      </c>
      <c r="C19" s="8" t="s">
        <v>106</v>
      </c>
      <c r="D19" s="74" t="s">
        <v>0</v>
      </c>
    </row>
    <row r="20" spans="2:5">
      <c r="B20" s="2" t="s">
        <v>107</v>
      </c>
      <c r="C20" s="11" t="s">
        <v>108</v>
      </c>
      <c r="D20" s="73" t="s">
        <v>109</v>
      </c>
    </row>
    <row r="21" spans="2:5">
      <c r="B21" s="26" t="s">
        <v>110</v>
      </c>
      <c r="C21" s="8" t="s">
        <v>111</v>
      </c>
      <c r="D21" s="73" t="s">
        <v>112</v>
      </c>
    </row>
    <row r="22" spans="2:5">
      <c r="B22" s="2" t="s">
        <v>113</v>
      </c>
      <c r="C22" s="11" t="s">
        <v>114</v>
      </c>
      <c r="D22" s="73" t="s">
        <v>115</v>
      </c>
    </row>
    <row r="23" spans="2:5">
      <c r="B23" s="26" t="s">
        <v>116</v>
      </c>
      <c r="C23" s="8" t="s">
        <v>117</v>
      </c>
      <c r="D23" s="74" t="s">
        <v>0</v>
      </c>
      <c r="E23" s="9"/>
    </row>
    <row r="24" spans="2:5">
      <c r="B24" s="26" t="s">
        <v>118</v>
      </c>
      <c r="C24" s="11" t="s">
        <v>119</v>
      </c>
      <c r="D24" s="74" t="s">
        <v>120</v>
      </c>
      <c r="E24" s="9"/>
    </row>
    <row r="25" spans="2:5">
      <c r="B25" s="26" t="s">
        <v>121</v>
      </c>
      <c r="C25" s="11" t="s">
        <v>122</v>
      </c>
      <c r="D25" s="72">
        <v>45658</v>
      </c>
      <c r="E25" s="2"/>
    </row>
    <row r="26" spans="2:5">
      <c r="B26" s="26" t="s">
        <v>123</v>
      </c>
      <c r="C26" s="11" t="s">
        <v>124</v>
      </c>
      <c r="D26" s="72">
        <v>46022</v>
      </c>
      <c r="E26" s="2"/>
    </row>
    <row r="27" spans="2:5">
      <c r="B27" s="26" t="s">
        <v>125</v>
      </c>
      <c r="C27" s="11" t="s">
        <v>126</v>
      </c>
      <c r="D27" s="74" t="s">
        <v>2</v>
      </c>
      <c r="E27" s="2"/>
    </row>
    <row r="28" spans="2:5">
      <c r="B28" s="2" t="s">
        <v>127</v>
      </c>
      <c r="C28" s="11" t="s">
        <v>128</v>
      </c>
      <c r="D28" s="74" t="s">
        <v>3</v>
      </c>
    </row>
  </sheetData>
  <sheetProtection algorithmName="SHA-512" hashValue="ZQ+EcechQiiGlgGnAyD9cnoCPHmUk21UgHbmXCnu2YY9SCRBbThKt9n5bIZHVbRVyk+1yfE5pQ8H88BZAcZpig==" saltValue="DTE1VEL/wq4qvx1gREpB2A==" spinCount="100000" sheet="1" formatColumns="0" formatRows="0"/>
  <dataValidations count="1">
    <dataValidation type="date" showErrorMessage="1" errorTitle="Kesalahan Jenis Data" error="Data yang dimasukkan harus berupa tanggal!" sqref="D5 D9" xr:uid="{00000000-0002-0000-0200-000000000000}">
      <formula1>0</formula1>
      <formula2>2958465.99999999</formula2>
    </dataValidation>
  </dataValidations>
  <pageMargins left="0.7" right="0.7" top="0.75" bottom="0.75" header="0.3" footer="0.3"/>
  <pageSetup orientation="portrait" horizontalDpi="1200" verticalDpi="1200" r:id="rId1"/>
  <customProperties>
    <customPr name="QAA_DRILLPATH_NODE_ID" r:id="rId2"/>
  </customProperties>
  <legacyDrawing r:id="rId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showErrorMessage="1" errorTitle="Kesalahan Nilai Data" error="Data yang dimasukkan harus tersedia dalam daftar!" xr:uid="{00000000-0002-0000-0200-000001000000}">
          <x14:formula1>
            <xm:f>ListOfValues!E1:E5</xm:f>
          </x14:formula1>
          <xm:sqref>D28</xm:sqref>
        </x14:dataValidation>
        <x14:dataValidation type="list" showErrorMessage="1" errorTitle="Kesalahan Nilai Data" error="Data yang dimasukkan harus tersedia dalam daftar!" xr:uid="{00000000-0002-0000-0200-000002000000}">
          <x14:formula1>
            <xm:f>ListOfValues!D1:D3</xm:f>
          </x14:formula1>
          <xm:sqref>D27</xm:sqref>
        </x14:dataValidation>
        <x14:dataValidation type="list" showErrorMessage="1" errorTitle="Kesalahan Nilai Data" error="Data yang dimasukkan harus tersedia dalam daftar!" xr:uid="{00000000-0002-0000-0200-000003000000}">
          <x14:formula1>
            <xm:f>ListOfValues!B1:B2</xm:f>
          </x14:formula1>
          <xm:sqref>D23</xm:sqref>
        </x14:dataValidation>
        <x14:dataValidation type="list" showErrorMessage="1" errorTitle="Kesalahan Nilai Data" error="Data yang dimasukkan harus tersedia dalam daftar!" xr:uid="{00000000-0002-0000-0200-000004000000}">
          <x14:formula1>
            <xm:f>ListOfValues!C1:C3</xm:f>
          </x14:formula1>
          <xm:sqref>D12</xm:sqref>
        </x14:dataValidation>
        <x14:dataValidation type="list" showErrorMessage="1" errorTitle="Kesalahan Nilai Data" error="Data yang dimasukkan harus tersedia dalam daftar!" xr:uid="{00000000-0002-0000-0200-000005000000}">
          <x14:formula1>
            <xm:f>ListOfValues!B1:B2</xm:f>
          </x14:formula1>
          <xm:sqref>D19</xm:sqref>
        </x14:dataValidation>
        <x14:dataValidation type="list" showErrorMessage="1" errorTitle="Kesalahan Nilai Data" error="Data yang dimasukkan harus tersedia dalam daftar!" xr:uid="{00000000-0002-0000-0200-000006000000}">
          <x14:formula1>
            <xm:f>ListOfValues!F1:F5</xm:f>
          </x14:formula1>
          <xm:sqref>D24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theme="0"/>
  </sheetPr>
  <dimension ref="A2:I87"/>
  <sheetViews>
    <sheetView showGridLines="0" topLeftCell="D1" zoomScale="85" zoomScaleNormal="85" workbookViewId="0">
      <selection activeCell="D1" sqref="A1:XFD1048576"/>
    </sheetView>
  </sheetViews>
  <sheetFormatPr defaultColWidth="9.140625" defaultRowHeight="15.75"/>
  <cols>
    <col min="1" max="1" width="13.85546875" style="27" hidden="1" customWidth="1"/>
    <col min="2" max="2" width="10.42578125" style="27" hidden="1" customWidth="1"/>
    <col min="3" max="3" width="13.5703125" style="27" hidden="1" customWidth="1"/>
    <col min="4" max="4" width="20" style="27" customWidth="1"/>
    <col min="5" max="5" width="52.42578125" style="27" customWidth="1"/>
    <col min="6" max="6" width="25.5703125" style="27" hidden="1" customWidth="1"/>
    <col min="7" max="8" width="30" style="27" customWidth="1"/>
    <col min="9" max="9" width="1" style="27" customWidth="1"/>
    <col min="10" max="10" width="26.85546875" style="27" customWidth="1"/>
    <col min="11" max="16384" width="9.140625" style="27"/>
  </cols>
  <sheetData>
    <row r="2" spans="1:9" ht="5.0999999999999996" customHeight="1">
      <c r="B2" s="28" t="s">
        <v>129</v>
      </c>
      <c r="C2" s="28"/>
      <c r="D2" s="29"/>
      <c r="E2" s="29"/>
      <c r="F2" s="29"/>
      <c r="G2" s="29"/>
      <c r="H2" s="29"/>
      <c r="I2" s="29"/>
    </row>
    <row r="3" spans="1:9" hidden="1">
      <c r="B3" s="28" t="s">
        <v>130</v>
      </c>
      <c r="C3" s="28"/>
      <c r="D3" s="29"/>
      <c r="E3" s="29"/>
      <c r="F3" s="29"/>
      <c r="G3" s="29"/>
      <c r="H3" s="29"/>
      <c r="I3" s="29"/>
    </row>
    <row r="4" spans="1:9" hidden="1">
      <c r="B4" s="29"/>
      <c r="C4" s="29"/>
      <c r="D4" s="29"/>
      <c r="E4" s="29"/>
      <c r="F4" s="29"/>
      <c r="G4" s="29"/>
      <c r="H4" s="29"/>
      <c r="I4" s="29"/>
    </row>
    <row r="5" spans="1:9" hidden="1">
      <c r="B5" s="29"/>
      <c r="C5" s="29"/>
      <c r="D5" s="29"/>
      <c r="E5" s="29"/>
      <c r="F5" s="29"/>
      <c r="G5" s="29"/>
      <c r="H5" s="29"/>
      <c r="I5" s="29"/>
    </row>
    <row r="6" spans="1:9" hidden="1">
      <c r="B6" s="29"/>
      <c r="C6" s="29"/>
      <c r="D6" s="29"/>
      <c r="E6" s="29"/>
      <c r="F6" s="29"/>
      <c r="G6" s="29"/>
      <c r="H6" s="29"/>
      <c r="I6" s="29"/>
    </row>
    <row r="7" spans="1:9">
      <c r="B7" s="29"/>
      <c r="C7" s="29"/>
      <c r="D7" s="102" t="str">
        <f>UPPER('Data Umum'!D7)</f>
        <v>PT MANDIRI MANAJEMEN INVESTASI</v>
      </c>
      <c r="E7" s="102"/>
      <c r="F7" s="102"/>
      <c r="G7" s="102"/>
      <c r="H7" s="102"/>
      <c r="I7" s="29"/>
    </row>
    <row r="8" spans="1:9">
      <c r="B8" s="29"/>
      <c r="C8" s="29"/>
      <c r="D8" s="29"/>
      <c r="E8" s="29"/>
      <c r="F8" s="29"/>
      <c r="G8" s="29"/>
      <c r="H8" s="29"/>
      <c r="I8" s="29"/>
    </row>
    <row r="9" spans="1:9">
      <c r="B9" s="29"/>
      <c r="C9" s="29"/>
      <c r="D9" s="103" t="s">
        <v>131</v>
      </c>
      <c r="E9" s="103"/>
      <c r="F9" s="103"/>
      <c r="G9" s="103"/>
      <c r="H9" s="103"/>
      <c r="I9" s="29"/>
    </row>
    <row r="10" spans="1:9">
      <c r="B10" s="29"/>
      <c r="C10" s="29"/>
      <c r="D10" s="103"/>
      <c r="E10" s="103"/>
      <c r="F10" s="103"/>
      <c r="G10" s="103"/>
      <c r="H10" s="103"/>
      <c r="I10" s="29"/>
    </row>
    <row r="11" spans="1:9">
      <c r="B11" s="29"/>
      <c r="C11" s="29"/>
      <c r="D11" s="103" t="str">
        <f>"Per 31 Desember "&amp;CONCATENATE(TEXT('Data Umum'!D9, "YYYY"))</f>
        <v>Per 31 Desember 2025</v>
      </c>
      <c r="E11" s="103"/>
      <c r="F11" s="103"/>
      <c r="G11" s="103"/>
      <c r="H11" s="103"/>
      <c r="I11" s="29"/>
    </row>
    <row r="12" spans="1:9" hidden="1">
      <c r="B12" s="29"/>
      <c r="C12" s="29"/>
      <c r="D12" s="29"/>
      <c r="E12" s="29"/>
      <c r="F12" s="29"/>
      <c r="G12" s="29"/>
      <c r="H12" s="29"/>
      <c r="I12" s="29"/>
    </row>
    <row r="13" spans="1:9">
      <c r="B13" s="29"/>
      <c r="C13" s="29"/>
      <c r="D13" s="104"/>
      <c r="E13" s="105"/>
      <c r="F13" s="105"/>
      <c r="G13" s="105"/>
      <c r="H13" s="105"/>
      <c r="I13" s="29"/>
    </row>
    <row r="14" spans="1:9">
      <c r="B14" s="29"/>
      <c r="C14" s="29"/>
      <c r="D14" s="97" t="s">
        <v>132</v>
      </c>
      <c r="E14" s="90"/>
      <c r="F14" s="30"/>
      <c r="G14" s="100" t="str">
        <f>CONCATENATE(TEXT('Data Umum'!D9, "YYYY"))</f>
        <v>2025</v>
      </c>
      <c r="H14" s="100" t="str">
        <f>CONCATENATE(TEXT(DATE(YEAR('Data Umum'!D9), MONTH('Data Umum'!D9)-12, DAY('Data Umum'!D9)), "YYYY"))</f>
        <v>2024</v>
      </c>
      <c r="I14" s="29"/>
    </row>
    <row r="15" spans="1:9">
      <c r="A15" s="31" t="s">
        <v>133</v>
      </c>
      <c r="B15" s="31" t="s">
        <v>134</v>
      </c>
      <c r="C15" s="31" t="s">
        <v>133</v>
      </c>
      <c r="D15" s="98"/>
      <c r="E15" s="99"/>
      <c r="F15" s="32" t="s">
        <v>135</v>
      </c>
      <c r="G15" s="101"/>
      <c r="H15" s="101"/>
      <c r="I15" s="29"/>
    </row>
    <row r="16" spans="1:9">
      <c r="A16" s="29" t="s">
        <v>136</v>
      </c>
      <c r="B16" s="29" t="s">
        <v>137</v>
      </c>
      <c r="C16" s="29" t="s">
        <v>138</v>
      </c>
      <c r="D16" s="89" t="s">
        <v>139</v>
      </c>
      <c r="E16" s="90"/>
      <c r="F16" s="33"/>
      <c r="G16" s="83">
        <f>IFERROR(G17, 0)+IFERROR(G18, 0)+IFERROR(G19, 0)+IFERROR(G20, 0)+IFERROR(G21, 0)+IFERROR(G22, 0)+IFERROR(G25, 0)+IFERROR(G28, 0)+IFERROR(G31, 0)+IFERROR(G34, 0)+IFERROR(G35, 0)+IFERROR(G36, 0)+IFERROR(G37, 0)+IFERROR(G38, 0)+IFERROR(G39, 0)+IFERROR(G40, 0)+IFERROR(G41, 0)+IFERROR(G42, 0)+IFERROR(G43, 0)</f>
        <v>413872455749</v>
      </c>
      <c r="H16" s="83">
        <f>IFERROR(H17, 0)+IFERROR(H18, 0)+IFERROR(H19, 0)+IFERROR(H20, 0)+IFERROR(H21, 0)+IFERROR(H22, 0)+IFERROR(H25, 0)+IFERROR(H28, 0)+IFERROR(H31, 0)+IFERROR(H34, 0)+IFERROR(H35, 0)+IFERROR(H36, 0)+IFERROR(H37, 0)+IFERROR(H38, 0)+IFERROR(H39, 0)+IFERROR(H40, 0)+IFERROR(H41, 0)+IFERROR(H42, 0)+IFERROR(H43, 0)</f>
        <v>448051314959</v>
      </c>
      <c r="I16" s="29"/>
    </row>
    <row r="17" spans="1:9">
      <c r="A17" s="29" t="s">
        <v>140</v>
      </c>
      <c r="B17" s="29" t="s">
        <v>141</v>
      </c>
      <c r="C17" s="29" t="s">
        <v>140</v>
      </c>
      <c r="D17" s="91" t="s">
        <v>142</v>
      </c>
      <c r="E17" s="96"/>
      <c r="F17" s="34"/>
      <c r="G17" s="35">
        <v>212255442891</v>
      </c>
      <c r="H17" s="35">
        <v>96483958730</v>
      </c>
      <c r="I17" s="29"/>
    </row>
    <row r="18" spans="1:9">
      <c r="A18" s="29" t="e">
        <v>#N/A</v>
      </c>
      <c r="B18" s="29" t="s">
        <v>143</v>
      </c>
      <c r="C18" s="36" t="s">
        <v>144</v>
      </c>
      <c r="D18" s="91" t="s">
        <v>145</v>
      </c>
      <c r="E18" s="96"/>
      <c r="F18" s="34" t="s">
        <v>146</v>
      </c>
      <c r="G18" s="35">
        <v>0</v>
      </c>
      <c r="H18" s="35">
        <v>0</v>
      </c>
      <c r="I18" s="29"/>
    </row>
    <row r="19" spans="1:9">
      <c r="A19" s="29" t="s">
        <v>147</v>
      </c>
      <c r="B19" s="29" t="s">
        <v>148</v>
      </c>
      <c r="C19" s="29" t="s">
        <v>147</v>
      </c>
      <c r="D19" s="91" t="s">
        <v>149</v>
      </c>
      <c r="E19" s="96"/>
      <c r="F19" s="34"/>
      <c r="G19" s="35">
        <v>0</v>
      </c>
      <c r="H19" s="35">
        <v>0</v>
      </c>
      <c r="I19" s="29"/>
    </row>
    <row r="20" spans="1:9">
      <c r="A20" s="29" t="s">
        <v>150</v>
      </c>
      <c r="B20" s="29" t="s">
        <v>151</v>
      </c>
      <c r="C20" s="29" t="s">
        <v>150</v>
      </c>
      <c r="D20" s="91" t="s">
        <v>152</v>
      </c>
      <c r="E20" s="96"/>
      <c r="F20" s="34"/>
      <c r="G20" s="35">
        <v>69233684184</v>
      </c>
      <c r="H20" s="35">
        <v>234412261112</v>
      </c>
      <c r="I20" s="29"/>
    </row>
    <row r="21" spans="1:9">
      <c r="A21" s="29" t="e">
        <v>#N/A</v>
      </c>
      <c r="B21" s="29" t="s">
        <v>153</v>
      </c>
      <c r="C21" s="29" t="s">
        <v>154</v>
      </c>
      <c r="D21" s="91" t="s">
        <v>155</v>
      </c>
      <c r="E21" s="96"/>
      <c r="F21" s="34"/>
      <c r="G21" s="35">
        <v>0</v>
      </c>
      <c r="H21" s="35">
        <v>0</v>
      </c>
      <c r="I21" s="29"/>
    </row>
    <row r="22" spans="1:9">
      <c r="A22" s="29" t="e">
        <v>#N/A</v>
      </c>
      <c r="B22" s="29" t="s">
        <v>156</v>
      </c>
      <c r="C22" s="36" t="s">
        <v>157</v>
      </c>
      <c r="D22" s="91" t="s">
        <v>158</v>
      </c>
      <c r="E22" s="96"/>
      <c r="F22" s="34"/>
      <c r="G22" s="77">
        <f>G23+G24</f>
        <v>0</v>
      </c>
      <c r="H22" s="77">
        <f>H23+H24</f>
        <v>0</v>
      </c>
      <c r="I22" s="29"/>
    </row>
    <row r="23" spans="1:9">
      <c r="A23" s="29" t="e">
        <v>#N/A</v>
      </c>
      <c r="B23" s="29" t="s">
        <v>159</v>
      </c>
      <c r="C23" s="37" t="s">
        <v>160</v>
      </c>
      <c r="D23" s="87" t="s">
        <v>161</v>
      </c>
      <c r="E23" s="88"/>
      <c r="F23" s="38"/>
      <c r="G23" s="35">
        <v>0</v>
      </c>
      <c r="H23" s="35">
        <v>0</v>
      </c>
      <c r="I23" s="29"/>
    </row>
    <row r="24" spans="1:9">
      <c r="A24" s="29" t="e">
        <v>#N/A</v>
      </c>
      <c r="B24" s="29" t="s">
        <v>162</v>
      </c>
      <c r="C24" s="37" t="s">
        <v>163</v>
      </c>
      <c r="D24" s="87" t="s">
        <v>164</v>
      </c>
      <c r="E24" s="88"/>
      <c r="F24" s="38"/>
      <c r="G24" s="35">
        <v>0</v>
      </c>
      <c r="H24" s="35">
        <v>0</v>
      </c>
      <c r="I24" s="29"/>
    </row>
    <row r="25" spans="1:9">
      <c r="A25" s="29" t="e">
        <v>#N/A</v>
      </c>
      <c r="B25" s="29" t="s">
        <v>165</v>
      </c>
      <c r="C25" s="36" t="s">
        <v>166</v>
      </c>
      <c r="D25" s="91" t="s">
        <v>167</v>
      </c>
      <c r="E25" s="96"/>
      <c r="F25" s="34"/>
      <c r="G25" s="77">
        <f>G26+G27</f>
        <v>0</v>
      </c>
      <c r="H25" s="77">
        <f>H26+H27</f>
        <v>0</v>
      </c>
      <c r="I25" s="29"/>
    </row>
    <row r="26" spans="1:9">
      <c r="A26" s="29" t="e">
        <v>#N/A</v>
      </c>
      <c r="B26" s="29" t="s">
        <v>168</v>
      </c>
      <c r="C26" s="37" t="s">
        <v>169</v>
      </c>
      <c r="D26" s="87" t="s">
        <v>161</v>
      </c>
      <c r="E26" s="88"/>
      <c r="F26" s="38"/>
      <c r="G26" s="35">
        <v>0</v>
      </c>
      <c r="H26" s="35">
        <v>0</v>
      </c>
      <c r="I26" s="29"/>
    </row>
    <row r="27" spans="1:9">
      <c r="A27" s="29" t="e">
        <v>#N/A</v>
      </c>
      <c r="B27" s="29" t="s">
        <v>170</v>
      </c>
      <c r="C27" s="37" t="s">
        <v>171</v>
      </c>
      <c r="D27" s="87" t="s">
        <v>164</v>
      </c>
      <c r="E27" s="88"/>
      <c r="F27" s="38"/>
      <c r="G27" s="35">
        <v>0</v>
      </c>
      <c r="H27" s="35">
        <v>0</v>
      </c>
      <c r="I27" s="29"/>
    </row>
    <row r="28" spans="1:9">
      <c r="A28" s="29" t="s">
        <v>172</v>
      </c>
      <c r="B28" s="29" t="s">
        <v>173</v>
      </c>
      <c r="C28" s="29" t="s">
        <v>172</v>
      </c>
      <c r="D28" s="91" t="s">
        <v>174</v>
      </c>
      <c r="E28" s="96"/>
      <c r="F28" s="34"/>
      <c r="G28" s="77">
        <f>G29+G30</f>
        <v>0</v>
      </c>
      <c r="H28" s="77">
        <f>H29+H30</f>
        <v>0</v>
      </c>
      <c r="I28" s="29"/>
    </row>
    <row r="29" spans="1:9">
      <c r="A29" s="29" t="e">
        <v>#N/A</v>
      </c>
      <c r="B29" s="29" t="s">
        <v>175</v>
      </c>
      <c r="C29" s="37" t="s">
        <v>176</v>
      </c>
      <c r="D29" s="87" t="s">
        <v>161</v>
      </c>
      <c r="E29" s="88"/>
      <c r="F29" s="38"/>
      <c r="G29" s="35">
        <v>0</v>
      </c>
      <c r="H29" s="35">
        <v>0</v>
      </c>
      <c r="I29" s="29"/>
    </row>
    <row r="30" spans="1:9">
      <c r="A30" s="29" t="e">
        <v>#N/A</v>
      </c>
      <c r="B30" s="29" t="s">
        <v>177</v>
      </c>
      <c r="C30" s="37" t="s">
        <v>178</v>
      </c>
      <c r="D30" s="87" t="s">
        <v>164</v>
      </c>
      <c r="E30" s="88"/>
      <c r="F30" s="38"/>
      <c r="G30" s="35">
        <v>0</v>
      </c>
      <c r="H30" s="35">
        <v>0</v>
      </c>
      <c r="I30" s="29"/>
    </row>
    <row r="31" spans="1:9">
      <c r="A31" s="29" t="s">
        <v>179</v>
      </c>
      <c r="B31" s="29" t="s">
        <v>180</v>
      </c>
      <c r="C31" s="29" t="s">
        <v>179</v>
      </c>
      <c r="D31" s="91" t="s">
        <v>181</v>
      </c>
      <c r="E31" s="96"/>
      <c r="F31" s="34"/>
      <c r="G31" s="77">
        <f>G32+G33</f>
        <v>36788210762</v>
      </c>
      <c r="H31" s="77">
        <f>H32+H33</f>
        <v>27381269283</v>
      </c>
      <c r="I31" s="29"/>
    </row>
    <row r="32" spans="1:9">
      <c r="A32" s="29" t="e">
        <v>#N/A</v>
      </c>
      <c r="B32" s="29" t="s">
        <v>182</v>
      </c>
      <c r="C32" s="37" t="s">
        <v>183</v>
      </c>
      <c r="D32" s="87" t="s">
        <v>161</v>
      </c>
      <c r="E32" s="88"/>
      <c r="F32" s="38"/>
      <c r="G32" s="35">
        <v>34782514333</v>
      </c>
      <c r="H32" s="35">
        <v>25475921939</v>
      </c>
      <c r="I32" s="29"/>
    </row>
    <row r="33" spans="1:9">
      <c r="A33" s="29" t="e">
        <v>#N/A</v>
      </c>
      <c r="B33" s="29" t="s">
        <v>184</v>
      </c>
      <c r="C33" s="37" t="s">
        <v>185</v>
      </c>
      <c r="D33" s="87" t="s">
        <v>164</v>
      </c>
      <c r="E33" s="88"/>
      <c r="F33" s="38"/>
      <c r="G33" s="35">
        <v>2005696429</v>
      </c>
      <c r="H33" s="35">
        <v>1905347344</v>
      </c>
      <c r="I33" s="29"/>
    </row>
    <row r="34" spans="1:9">
      <c r="A34" s="29" t="s">
        <v>186</v>
      </c>
      <c r="B34" s="29" t="s">
        <v>187</v>
      </c>
      <c r="C34" s="29" t="s">
        <v>186</v>
      </c>
      <c r="D34" s="91" t="s">
        <v>188</v>
      </c>
      <c r="E34" s="96"/>
      <c r="F34" s="34"/>
      <c r="G34" s="35">
        <v>0</v>
      </c>
      <c r="H34" s="35">
        <v>0</v>
      </c>
      <c r="I34" s="29"/>
    </row>
    <row r="35" spans="1:9">
      <c r="A35" s="29" t="s">
        <v>189</v>
      </c>
      <c r="B35" s="29" t="s">
        <v>190</v>
      </c>
      <c r="C35" s="29" t="s">
        <v>189</v>
      </c>
      <c r="D35" s="91" t="s">
        <v>191</v>
      </c>
      <c r="E35" s="96"/>
      <c r="F35" s="34"/>
      <c r="G35" s="35">
        <v>405642191</v>
      </c>
      <c r="H35" s="35">
        <v>365854510</v>
      </c>
      <c r="I35" s="29"/>
    </row>
    <row r="36" spans="1:9">
      <c r="A36" s="29" t="s">
        <v>192</v>
      </c>
      <c r="B36" s="29" t="s">
        <v>193</v>
      </c>
      <c r="C36" s="29" t="s">
        <v>192</v>
      </c>
      <c r="D36" s="91" t="s">
        <v>194</v>
      </c>
      <c r="E36" s="96"/>
      <c r="F36" s="34"/>
      <c r="G36" s="35">
        <v>5456737153</v>
      </c>
      <c r="H36" s="35">
        <v>5235524226</v>
      </c>
      <c r="I36" s="29"/>
    </row>
    <row r="37" spans="1:9">
      <c r="A37" s="29" t="s">
        <v>195</v>
      </c>
      <c r="B37" s="29" t="s">
        <v>196</v>
      </c>
      <c r="C37" s="29" t="s">
        <v>195</v>
      </c>
      <c r="D37" s="91" t="s">
        <v>197</v>
      </c>
      <c r="E37" s="96"/>
      <c r="F37" s="34"/>
      <c r="G37" s="35">
        <v>0</v>
      </c>
      <c r="H37" s="35">
        <v>5689796732</v>
      </c>
      <c r="I37" s="29"/>
    </row>
    <row r="38" spans="1:9">
      <c r="A38" s="29" t="e">
        <v>#N/A</v>
      </c>
      <c r="B38" s="29" t="s">
        <v>198</v>
      </c>
      <c r="C38" s="39" t="s">
        <v>199</v>
      </c>
      <c r="D38" s="91" t="s">
        <v>200</v>
      </c>
      <c r="E38" s="96"/>
      <c r="F38" s="34"/>
      <c r="G38" s="35">
        <v>62534173930</v>
      </c>
      <c r="H38" s="35">
        <v>62534173930</v>
      </c>
      <c r="I38" s="29"/>
    </row>
    <row r="39" spans="1:9">
      <c r="A39" s="29" t="e">
        <v>#N/A</v>
      </c>
      <c r="B39" s="29" t="s">
        <v>201</v>
      </c>
      <c r="C39" s="40" t="s">
        <v>202</v>
      </c>
      <c r="D39" s="91" t="s">
        <v>203</v>
      </c>
      <c r="E39" s="96"/>
      <c r="F39" s="34"/>
      <c r="G39" s="35">
        <v>0</v>
      </c>
      <c r="H39" s="35">
        <v>0</v>
      </c>
      <c r="I39" s="29"/>
    </row>
    <row r="40" spans="1:9">
      <c r="A40" s="29" t="s">
        <v>204</v>
      </c>
      <c r="B40" s="29" t="s">
        <v>205</v>
      </c>
      <c r="C40" s="29" t="s">
        <v>204</v>
      </c>
      <c r="D40" s="91" t="s">
        <v>206</v>
      </c>
      <c r="E40" s="96"/>
      <c r="F40" s="34"/>
      <c r="G40" s="35">
        <v>9358840682</v>
      </c>
      <c r="H40" s="35">
        <v>233195876</v>
      </c>
      <c r="I40" s="29"/>
    </row>
    <row r="41" spans="1:9">
      <c r="A41" s="29" t="s">
        <v>207</v>
      </c>
      <c r="B41" s="29" t="s">
        <v>208</v>
      </c>
      <c r="C41" s="29" t="s">
        <v>207</v>
      </c>
      <c r="D41" s="91" t="s">
        <v>209</v>
      </c>
      <c r="E41" s="96"/>
      <c r="F41" s="34"/>
      <c r="G41" s="35">
        <v>4912044363</v>
      </c>
      <c r="H41" s="35">
        <v>5382522454</v>
      </c>
      <c r="I41" s="29"/>
    </row>
    <row r="42" spans="1:9">
      <c r="A42" s="29" t="s">
        <v>210</v>
      </c>
      <c r="B42" s="29" t="s">
        <v>211</v>
      </c>
      <c r="C42" s="29" t="s">
        <v>210</v>
      </c>
      <c r="D42" s="91" t="s">
        <v>212</v>
      </c>
      <c r="E42" s="96"/>
      <c r="F42" s="34"/>
      <c r="G42" s="35">
        <v>10567017412</v>
      </c>
      <c r="H42" s="35">
        <v>7857666372</v>
      </c>
      <c r="I42" s="29"/>
    </row>
    <row r="43" spans="1:9">
      <c r="A43" s="29" t="s">
        <v>213</v>
      </c>
      <c r="B43" s="29" t="s">
        <v>214</v>
      </c>
      <c r="C43" s="29" t="s">
        <v>213</v>
      </c>
      <c r="D43" s="91" t="s">
        <v>215</v>
      </c>
      <c r="E43" s="96"/>
      <c r="F43" s="34"/>
      <c r="G43" s="35">
        <v>2360662181</v>
      </c>
      <c r="H43" s="35">
        <v>2475091734</v>
      </c>
      <c r="I43" s="29"/>
    </row>
    <row r="44" spans="1:9">
      <c r="A44" s="29" t="s">
        <v>136</v>
      </c>
      <c r="B44" s="41" t="s">
        <v>137</v>
      </c>
      <c r="C44" s="41" t="s">
        <v>136</v>
      </c>
      <c r="D44" s="89" t="s">
        <v>216</v>
      </c>
      <c r="E44" s="90"/>
      <c r="F44" s="33"/>
      <c r="G44" s="77">
        <f>G16</f>
        <v>413872455749</v>
      </c>
      <c r="H44" s="77">
        <f>H16</f>
        <v>448051314959</v>
      </c>
      <c r="I44" s="29"/>
    </row>
    <row r="45" spans="1:9">
      <c r="A45" s="29" t="s">
        <v>217</v>
      </c>
      <c r="B45" s="41" t="s">
        <v>218</v>
      </c>
      <c r="C45" s="41" t="s">
        <v>219</v>
      </c>
      <c r="D45" s="89" t="s">
        <v>220</v>
      </c>
      <c r="E45" s="90"/>
      <c r="F45" s="33"/>
      <c r="G45" s="83">
        <f>IFERROR(G46, 0)+IFERROR(G49, 0)+IFERROR(G52, 0)+IFERROR(G55, 0)+IFERROR(G58, 0)+IFERROR(G59, 0)+IFERROR(G60, 0)+IFERROR(G61, 0)+IFERROR(G62, 0)+IFERROR(G63, 0)+IFERROR(G64, 0)+IFERROR(G65, 0)+IFERROR(G66, 0)+IFERROR(G67, 0)+IFERROR(G68, 0)+IFERROR(G69, 0)</f>
        <v>93751825643</v>
      </c>
      <c r="H45" s="83">
        <f>IFERROR(H46, 0)+IFERROR(H49, 0)+IFERROR(H52, 0)+IFERROR(H55, 0)+IFERROR(H58, 0)+IFERROR(H59, 0)+IFERROR(H60, 0)+IFERROR(H61, 0)+IFERROR(H62, 0)+IFERROR(H63, 0)+IFERROR(H64, 0)+IFERROR(H65, 0)+IFERROR(H66, 0)+IFERROR(H67, 0)+IFERROR(H68, 0)+IFERROR(H69, 0)</f>
        <v>64447297741</v>
      </c>
      <c r="I45" s="29"/>
    </row>
    <row r="46" spans="1:9">
      <c r="A46" s="29" t="e">
        <v>#N/A</v>
      </c>
      <c r="B46" s="29" t="s">
        <v>221</v>
      </c>
      <c r="C46" s="39" t="s">
        <v>222</v>
      </c>
      <c r="D46" s="91" t="s">
        <v>223</v>
      </c>
      <c r="E46" s="96"/>
      <c r="F46" s="34"/>
      <c r="G46" s="77">
        <f>G47+G48</f>
        <v>0</v>
      </c>
      <c r="H46" s="77">
        <f>H47+H48</f>
        <v>0</v>
      </c>
      <c r="I46" s="29"/>
    </row>
    <row r="47" spans="1:9">
      <c r="A47" s="29" t="e">
        <v>#N/A</v>
      </c>
      <c r="B47" s="29" t="s">
        <v>224</v>
      </c>
      <c r="C47" s="37" t="s">
        <v>225</v>
      </c>
      <c r="D47" s="87" t="s">
        <v>161</v>
      </c>
      <c r="E47" s="88"/>
      <c r="F47" s="38"/>
      <c r="G47" s="43">
        <v>0</v>
      </c>
      <c r="H47" s="43">
        <v>0</v>
      </c>
      <c r="I47" s="29"/>
    </row>
    <row r="48" spans="1:9">
      <c r="A48" s="29" t="e">
        <v>#N/A</v>
      </c>
      <c r="B48" s="29" t="s">
        <v>226</v>
      </c>
      <c r="C48" s="37" t="s">
        <v>227</v>
      </c>
      <c r="D48" s="87" t="s">
        <v>164</v>
      </c>
      <c r="E48" s="88"/>
      <c r="F48" s="38"/>
      <c r="G48" s="43">
        <v>0</v>
      </c>
      <c r="H48" s="43">
        <v>0</v>
      </c>
      <c r="I48" s="29"/>
    </row>
    <row r="49" spans="1:9">
      <c r="A49" s="29" t="e">
        <v>#N/A</v>
      </c>
      <c r="B49" s="29" t="s">
        <v>228</v>
      </c>
      <c r="C49" s="39" t="s">
        <v>229</v>
      </c>
      <c r="D49" s="91" t="s">
        <v>230</v>
      </c>
      <c r="E49" s="96"/>
      <c r="F49" s="34"/>
      <c r="G49" s="77">
        <f>G50+G51</f>
        <v>0</v>
      </c>
      <c r="H49" s="77">
        <f>H50+H51</f>
        <v>0</v>
      </c>
      <c r="I49" s="29"/>
    </row>
    <row r="50" spans="1:9">
      <c r="A50" s="29" t="e">
        <v>#N/A</v>
      </c>
      <c r="B50" s="29" t="s">
        <v>231</v>
      </c>
      <c r="C50" s="37" t="s">
        <v>232</v>
      </c>
      <c r="D50" s="87" t="s">
        <v>161</v>
      </c>
      <c r="E50" s="88"/>
      <c r="F50" s="38"/>
      <c r="G50" s="35">
        <v>0</v>
      </c>
      <c r="H50" s="35">
        <v>0</v>
      </c>
      <c r="I50" s="29"/>
    </row>
    <row r="51" spans="1:9">
      <c r="A51" s="29" t="e">
        <v>#N/A</v>
      </c>
      <c r="B51" s="29" t="s">
        <v>233</v>
      </c>
      <c r="C51" s="37" t="s">
        <v>234</v>
      </c>
      <c r="D51" s="87" t="s">
        <v>164</v>
      </c>
      <c r="E51" s="88"/>
      <c r="F51" s="38"/>
      <c r="G51" s="35">
        <v>0</v>
      </c>
      <c r="H51" s="35">
        <v>0</v>
      </c>
      <c r="I51" s="29"/>
    </row>
    <row r="52" spans="1:9">
      <c r="A52" s="29" t="s">
        <v>235</v>
      </c>
      <c r="B52" s="29" t="s">
        <v>236</v>
      </c>
      <c r="C52" s="29" t="s">
        <v>235</v>
      </c>
      <c r="D52" s="91" t="s">
        <v>237</v>
      </c>
      <c r="E52" s="96"/>
      <c r="F52" s="34"/>
      <c r="G52" s="77">
        <f>G53+G54</f>
        <v>0</v>
      </c>
      <c r="H52" s="77">
        <f>H53+H54</f>
        <v>0</v>
      </c>
      <c r="I52" s="29"/>
    </row>
    <row r="53" spans="1:9">
      <c r="A53" s="29" t="e">
        <v>#N/A</v>
      </c>
      <c r="B53" s="29" t="s">
        <v>238</v>
      </c>
      <c r="C53" s="37" t="s">
        <v>239</v>
      </c>
      <c r="D53" s="87" t="s">
        <v>161</v>
      </c>
      <c r="E53" s="88"/>
      <c r="F53" s="38"/>
      <c r="G53" s="35">
        <v>0</v>
      </c>
      <c r="H53" s="35">
        <v>0</v>
      </c>
      <c r="I53" s="29"/>
    </row>
    <row r="54" spans="1:9">
      <c r="A54" s="29" t="e">
        <v>#N/A</v>
      </c>
      <c r="B54" s="29" t="s">
        <v>240</v>
      </c>
      <c r="C54" s="37" t="s">
        <v>241</v>
      </c>
      <c r="D54" s="87" t="s">
        <v>164</v>
      </c>
      <c r="E54" s="88"/>
      <c r="F54" s="38"/>
      <c r="G54" s="35">
        <v>0</v>
      </c>
      <c r="H54" s="35">
        <v>0</v>
      </c>
      <c r="I54" s="29"/>
    </row>
    <row r="55" spans="1:9">
      <c r="A55" s="29" t="s">
        <v>242</v>
      </c>
      <c r="B55" s="29" t="s">
        <v>243</v>
      </c>
      <c r="C55" s="29" t="s">
        <v>242</v>
      </c>
      <c r="D55" s="91" t="s">
        <v>244</v>
      </c>
      <c r="E55" s="96"/>
      <c r="F55" s="34"/>
      <c r="G55" s="77">
        <f>G56+G57</f>
        <v>20776149901</v>
      </c>
      <c r="H55" s="77">
        <f>H56+H57</f>
        <v>15979047016</v>
      </c>
      <c r="I55" s="29"/>
    </row>
    <row r="56" spans="1:9">
      <c r="A56" s="29" t="e">
        <v>#N/A</v>
      </c>
      <c r="B56" s="29" t="s">
        <v>245</v>
      </c>
      <c r="C56" s="37" t="s">
        <v>246</v>
      </c>
      <c r="D56" s="87" t="s">
        <v>161</v>
      </c>
      <c r="E56" s="88"/>
      <c r="F56" s="38"/>
      <c r="G56" s="35">
        <v>6925681085</v>
      </c>
      <c r="H56" s="35">
        <v>7286580307</v>
      </c>
      <c r="I56" s="29"/>
    </row>
    <row r="57" spans="1:9">
      <c r="A57" s="29" t="e">
        <v>#N/A</v>
      </c>
      <c r="B57" s="29" t="s">
        <v>247</v>
      </c>
      <c r="C57" s="37" t="s">
        <v>248</v>
      </c>
      <c r="D57" s="87" t="s">
        <v>164</v>
      </c>
      <c r="E57" s="88"/>
      <c r="F57" s="38"/>
      <c r="G57" s="35">
        <v>13850468816</v>
      </c>
      <c r="H57" s="35">
        <v>8692466709</v>
      </c>
      <c r="I57" s="29"/>
    </row>
    <row r="58" spans="1:9">
      <c r="A58" s="29" t="s">
        <v>249</v>
      </c>
      <c r="B58" s="29" t="s">
        <v>250</v>
      </c>
      <c r="C58" s="29" t="s">
        <v>249</v>
      </c>
      <c r="D58" s="91" t="s">
        <v>251</v>
      </c>
      <c r="E58" s="96"/>
      <c r="F58" s="34"/>
      <c r="G58" s="35">
        <v>0</v>
      </c>
      <c r="H58" s="35">
        <v>0</v>
      </c>
      <c r="I58" s="29"/>
    </row>
    <row r="59" spans="1:9">
      <c r="A59" s="29" t="s">
        <v>252</v>
      </c>
      <c r="B59" s="29" t="s">
        <v>253</v>
      </c>
      <c r="C59" s="29" t="s">
        <v>252</v>
      </c>
      <c r="D59" s="91" t="s">
        <v>254</v>
      </c>
      <c r="E59" s="96"/>
      <c r="F59" s="34"/>
      <c r="G59" s="35">
        <v>1746540356</v>
      </c>
      <c r="H59" s="35">
        <v>4015749897</v>
      </c>
      <c r="I59" s="29"/>
    </row>
    <row r="60" spans="1:9">
      <c r="A60" s="29" t="e">
        <v>#N/A</v>
      </c>
      <c r="B60" s="29" t="s">
        <v>255</v>
      </c>
      <c r="C60" s="29" t="s">
        <v>256</v>
      </c>
      <c r="D60" s="91" t="s">
        <v>257</v>
      </c>
      <c r="E60" s="96"/>
      <c r="F60" s="34"/>
      <c r="G60" s="35">
        <f>45286506302+332510083</f>
        <v>45619016385</v>
      </c>
      <c r="H60" s="35">
        <v>31033782551</v>
      </c>
      <c r="I60" s="29"/>
    </row>
    <row r="61" spans="1:9">
      <c r="A61" s="29" t="s">
        <v>258</v>
      </c>
      <c r="B61" s="29" t="s">
        <v>259</v>
      </c>
      <c r="C61" s="29" t="s">
        <v>258</v>
      </c>
      <c r="D61" s="91" t="s">
        <v>260</v>
      </c>
      <c r="E61" s="96"/>
      <c r="F61" s="34"/>
      <c r="G61" s="35">
        <v>0</v>
      </c>
      <c r="H61" s="35">
        <v>0</v>
      </c>
      <c r="I61" s="29"/>
    </row>
    <row r="62" spans="1:9">
      <c r="A62" s="29" t="e">
        <v>#N/A</v>
      </c>
      <c r="B62" s="29" t="s">
        <v>261</v>
      </c>
      <c r="C62" s="39" t="s">
        <v>262</v>
      </c>
      <c r="D62" s="91" t="s">
        <v>263</v>
      </c>
      <c r="E62" s="96"/>
      <c r="F62" s="34"/>
      <c r="G62" s="35">
        <v>0</v>
      </c>
      <c r="H62" s="35">
        <v>0</v>
      </c>
      <c r="I62" s="29"/>
    </row>
    <row r="63" spans="1:9">
      <c r="A63" s="29" t="s">
        <v>264</v>
      </c>
      <c r="B63" s="29" t="s">
        <v>265</v>
      </c>
      <c r="C63" s="29" t="s">
        <v>264</v>
      </c>
      <c r="D63" s="91" t="s">
        <v>266</v>
      </c>
      <c r="E63" s="96"/>
      <c r="F63" s="34"/>
      <c r="G63" s="35">
        <v>0</v>
      </c>
      <c r="H63" s="35">
        <v>0</v>
      </c>
      <c r="I63" s="29"/>
    </row>
    <row r="64" spans="1:9">
      <c r="A64" s="29" t="e">
        <v>#N/A</v>
      </c>
      <c r="B64" s="29" t="s">
        <v>267</v>
      </c>
      <c r="C64" s="29" t="s">
        <v>268</v>
      </c>
      <c r="D64" s="91" t="s">
        <v>269</v>
      </c>
      <c r="E64" s="96"/>
      <c r="F64" s="34"/>
      <c r="G64" s="35">
        <v>0</v>
      </c>
      <c r="H64" s="35">
        <v>0</v>
      </c>
      <c r="I64" s="29"/>
    </row>
    <row r="65" spans="1:9">
      <c r="A65" s="29" t="s">
        <v>270</v>
      </c>
      <c r="B65" s="29" t="s">
        <v>271</v>
      </c>
      <c r="C65" s="29" t="s">
        <v>270</v>
      </c>
      <c r="D65" s="91" t="s">
        <v>272</v>
      </c>
      <c r="E65" s="96"/>
      <c r="F65" s="34"/>
      <c r="G65" s="35">
        <v>8337656640</v>
      </c>
      <c r="H65" s="35">
        <v>233094247</v>
      </c>
      <c r="I65" s="29"/>
    </row>
    <row r="66" spans="1:9">
      <c r="A66" s="29" t="s">
        <v>273</v>
      </c>
      <c r="B66" s="29" t="s">
        <v>274</v>
      </c>
      <c r="C66" s="29" t="s">
        <v>273</v>
      </c>
      <c r="D66" s="91" t="s">
        <v>275</v>
      </c>
      <c r="E66" s="96"/>
      <c r="F66" s="34"/>
      <c r="G66" s="35">
        <v>17272462361</v>
      </c>
      <c r="H66" s="35">
        <v>13185624030</v>
      </c>
      <c r="I66" s="29"/>
    </row>
    <row r="67" spans="1:9">
      <c r="A67" s="29" t="s">
        <v>276</v>
      </c>
      <c r="B67" s="29" t="s">
        <v>277</v>
      </c>
      <c r="C67" s="29" t="s">
        <v>276</v>
      </c>
      <c r="D67" s="91" t="s">
        <v>278</v>
      </c>
      <c r="E67" s="96"/>
      <c r="F67" s="34"/>
      <c r="G67" s="35">
        <v>0</v>
      </c>
      <c r="H67" s="35">
        <v>0</v>
      </c>
      <c r="I67" s="29"/>
    </row>
    <row r="68" spans="1:9">
      <c r="A68" s="29" t="s">
        <v>268</v>
      </c>
      <c r="B68" s="29" t="s">
        <v>279</v>
      </c>
      <c r="C68" s="29" t="s">
        <v>280</v>
      </c>
      <c r="D68" s="91" t="s">
        <v>281</v>
      </c>
      <c r="E68" s="96"/>
      <c r="F68" s="34"/>
      <c r="G68" s="35">
        <v>0</v>
      </c>
      <c r="H68" s="35">
        <v>0</v>
      </c>
      <c r="I68" s="29"/>
    </row>
    <row r="69" spans="1:9">
      <c r="A69" s="29" t="s">
        <v>282</v>
      </c>
      <c r="B69" s="29" t="s">
        <v>283</v>
      </c>
      <c r="C69" s="29" t="s">
        <v>282</v>
      </c>
      <c r="D69" s="91" t="s">
        <v>284</v>
      </c>
      <c r="E69" s="96"/>
      <c r="F69" s="34"/>
      <c r="G69" s="35">
        <v>0</v>
      </c>
      <c r="H69" s="35">
        <v>0</v>
      </c>
      <c r="I69" s="29"/>
    </row>
    <row r="70" spans="1:9">
      <c r="A70" s="29" t="s">
        <v>217</v>
      </c>
      <c r="B70" s="41" t="s">
        <v>218</v>
      </c>
      <c r="C70" s="41" t="s">
        <v>217</v>
      </c>
      <c r="D70" s="89" t="s">
        <v>285</v>
      </c>
      <c r="E70" s="90"/>
      <c r="F70" s="33"/>
      <c r="G70" s="77">
        <f>G45</f>
        <v>93751825643</v>
      </c>
      <c r="H70" s="77">
        <f>H45</f>
        <v>64447297741</v>
      </c>
      <c r="I70" s="29"/>
    </row>
    <row r="71" spans="1:9">
      <c r="A71" s="29" t="s">
        <v>286</v>
      </c>
      <c r="B71" s="41" t="s">
        <v>287</v>
      </c>
      <c r="C71" s="41" t="s">
        <v>288</v>
      </c>
      <c r="D71" s="89" t="s">
        <v>289</v>
      </c>
      <c r="E71" s="90"/>
      <c r="F71" s="33"/>
      <c r="G71" s="83">
        <f>IFERROR(G72, 0)+0</f>
        <v>0</v>
      </c>
      <c r="H71" s="83">
        <f>IFERROR(H72, 0)+0</f>
        <v>0</v>
      </c>
      <c r="I71" s="29"/>
    </row>
    <row r="72" spans="1:9">
      <c r="A72" s="29" t="s">
        <v>290</v>
      </c>
      <c r="B72" s="42" t="s">
        <v>291</v>
      </c>
      <c r="C72" s="42" t="s">
        <v>290</v>
      </c>
      <c r="D72" s="91" t="s">
        <v>292</v>
      </c>
      <c r="E72" s="96"/>
      <c r="F72" s="34"/>
      <c r="G72" s="83"/>
      <c r="H72" s="83"/>
      <c r="I72" s="29"/>
    </row>
    <row r="73" spans="1:9">
      <c r="A73" s="29" t="s">
        <v>293</v>
      </c>
      <c r="B73" s="42" t="s">
        <v>294</v>
      </c>
      <c r="C73" s="42" t="s">
        <v>293</v>
      </c>
      <c r="D73" s="87" t="s">
        <v>295</v>
      </c>
      <c r="E73" s="88"/>
      <c r="F73" s="38"/>
      <c r="G73" s="35">
        <v>60000000000</v>
      </c>
      <c r="H73" s="35">
        <v>60000000000</v>
      </c>
      <c r="I73" s="29"/>
    </row>
    <row r="74" spans="1:9">
      <c r="A74" s="29" t="s">
        <v>296</v>
      </c>
      <c r="B74" s="42" t="s">
        <v>297</v>
      </c>
      <c r="C74" s="42" t="s">
        <v>296</v>
      </c>
      <c r="D74" s="87" t="s">
        <v>298</v>
      </c>
      <c r="E74" s="88"/>
      <c r="F74" s="38"/>
      <c r="G74" s="35">
        <v>0</v>
      </c>
      <c r="H74" s="35">
        <v>0</v>
      </c>
      <c r="I74" s="29"/>
    </row>
    <row r="75" spans="1:9">
      <c r="A75" s="29" t="e">
        <v>#N/A</v>
      </c>
      <c r="B75" s="42" t="s">
        <v>299</v>
      </c>
      <c r="C75" s="39" t="s">
        <v>300</v>
      </c>
      <c r="D75" s="87" t="s">
        <v>301</v>
      </c>
      <c r="E75" s="88"/>
      <c r="F75" s="38"/>
      <c r="G75" s="35">
        <v>0</v>
      </c>
      <c r="H75" s="35">
        <v>0</v>
      </c>
      <c r="I75" s="29"/>
    </row>
    <row r="76" spans="1:9">
      <c r="A76" s="29" t="e">
        <v>#N/A</v>
      </c>
      <c r="B76" s="42" t="s">
        <v>302</v>
      </c>
      <c r="C76" s="42" t="s">
        <v>303</v>
      </c>
      <c r="D76" s="87" t="s">
        <v>304</v>
      </c>
      <c r="E76" s="88"/>
      <c r="F76" s="38"/>
      <c r="G76" s="35">
        <v>0</v>
      </c>
      <c r="H76" s="35">
        <v>0</v>
      </c>
      <c r="I76" s="29"/>
    </row>
    <row r="77" spans="1:9">
      <c r="A77" s="29" t="e">
        <v>#N/A</v>
      </c>
      <c r="B77" s="42" t="s">
        <v>305</v>
      </c>
      <c r="C77" s="42" t="s">
        <v>306</v>
      </c>
      <c r="D77" s="87" t="s">
        <v>307</v>
      </c>
      <c r="E77" s="88"/>
      <c r="F77" s="38"/>
      <c r="G77" s="35">
        <v>259364636058</v>
      </c>
      <c r="H77" s="35">
        <v>323441047713</v>
      </c>
      <c r="I77" s="29"/>
    </row>
    <row r="78" spans="1:9">
      <c r="A78" s="29" t="e">
        <v>#N/A</v>
      </c>
      <c r="B78" s="42" t="s">
        <v>308</v>
      </c>
      <c r="C78" s="39" t="s">
        <v>309</v>
      </c>
      <c r="D78" s="87" t="s">
        <v>310</v>
      </c>
      <c r="E78" s="93"/>
      <c r="F78" s="34"/>
      <c r="G78" s="77">
        <f>G79+G80</f>
        <v>755994048</v>
      </c>
      <c r="H78" s="77">
        <f>H79+H80</f>
        <v>162969505</v>
      </c>
      <c r="I78" s="29"/>
    </row>
    <row r="79" spans="1:9">
      <c r="A79" s="29" t="e">
        <v>#N/A</v>
      </c>
      <c r="B79" s="42" t="s">
        <v>311</v>
      </c>
      <c r="C79" s="37" t="s">
        <v>312</v>
      </c>
      <c r="D79" s="94" t="s">
        <v>313</v>
      </c>
      <c r="E79" s="95"/>
      <c r="F79" s="38"/>
      <c r="G79" s="35">
        <v>755994048</v>
      </c>
      <c r="H79" s="35">
        <v>162969505</v>
      </c>
      <c r="I79" s="29"/>
    </row>
    <row r="80" spans="1:9">
      <c r="A80" s="29" t="e">
        <v>#N/A</v>
      </c>
      <c r="B80" s="42" t="s">
        <v>314</v>
      </c>
      <c r="C80" s="37" t="s">
        <v>315</v>
      </c>
      <c r="D80" s="94" t="s">
        <v>316</v>
      </c>
      <c r="E80" s="95"/>
      <c r="F80" s="38"/>
      <c r="G80" s="35">
        <v>0</v>
      </c>
      <c r="H80" s="35">
        <v>0</v>
      </c>
      <c r="I80" s="29"/>
    </row>
    <row r="81" spans="1:9">
      <c r="A81" s="29" t="s">
        <v>317</v>
      </c>
      <c r="B81" s="42" t="s">
        <v>318</v>
      </c>
      <c r="C81" s="42" t="s">
        <v>317</v>
      </c>
      <c r="D81" s="91" t="s">
        <v>319</v>
      </c>
      <c r="E81" s="92"/>
      <c r="F81" s="33"/>
      <c r="G81" s="77">
        <f>G73+G74+G75+G76+G77+G79+G80</f>
        <v>320120630106</v>
      </c>
      <c r="H81" s="77">
        <f>H73+H74+H75+H76+H77+H79+H80</f>
        <v>383604017218</v>
      </c>
      <c r="I81" s="29"/>
    </row>
    <row r="82" spans="1:9">
      <c r="A82" s="29" t="s">
        <v>320</v>
      </c>
      <c r="B82" s="29" t="s">
        <v>321</v>
      </c>
      <c r="C82" s="29" t="s">
        <v>320</v>
      </c>
      <c r="D82" s="91" t="s">
        <v>322</v>
      </c>
      <c r="E82" s="92"/>
      <c r="F82" s="33"/>
      <c r="G82" s="35">
        <v>0</v>
      </c>
      <c r="H82" s="35">
        <v>0</v>
      </c>
      <c r="I82" s="29"/>
    </row>
    <row r="83" spans="1:9">
      <c r="A83" s="29" t="s">
        <v>286</v>
      </c>
      <c r="B83" s="41" t="s">
        <v>287</v>
      </c>
      <c r="C83" s="41" t="s">
        <v>286</v>
      </c>
      <c r="D83" s="89" t="s">
        <v>323</v>
      </c>
      <c r="E83" s="90"/>
      <c r="F83" s="33"/>
      <c r="G83" s="77">
        <f>G81+G82</f>
        <v>320120630106</v>
      </c>
      <c r="H83" s="77">
        <f>H81+H82</f>
        <v>383604017218</v>
      </c>
      <c r="I83" s="29"/>
    </row>
    <row r="84" spans="1:9">
      <c r="A84" s="29" t="s">
        <v>324</v>
      </c>
      <c r="B84" s="41" t="s">
        <v>325</v>
      </c>
      <c r="C84" s="41" t="s">
        <v>324</v>
      </c>
      <c r="D84" s="89" t="s">
        <v>326</v>
      </c>
      <c r="E84" s="90"/>
      <c r="F84" s="33"/>
      <c r="G84" s="77">
        <f>G70+G83</f>
        <v>413872455749</v>
      </c>
      <c r="H84" s="77">
        <f>H70+H83</f>
        <v>448051314959</v>
      </c>
      <c r="I84" s="29"/>
    </row>
    <row r="85" spans="1:9">
      <c r="B85" s="29"/>
      <c r="C85" s="29"/>
      <c r="D85" s="29"/>
      <c r="E85" s="29"/>
      <c r="F85" s="29"/>
      <c r="G85" s="29"/>
      <c r="H85" s="29"/>
      <c r="I85" s="29"/>
    </row>
    <row r="86" spans="1:9" ht="5.0999999999999996" customHeight="1">
      <c r="B86" s="29"/>
      <c r="C86" s="29"/>
      <c r="D86" s="29"/>
      <c r="E86" s="29"/>
      <c r="F86" s="29"/>
      <c r="G86" s="29"/>
      <c r="H86" s="29"/>
      <c r="I86" s="29"/>
    </row>
    <row r="87" spans="1:9">
      <c r="F87" s="35">
        <v>100024000000</v>
      </c>
    </row>
  </sheetData>
  <sheetProtection algorithmName="SHA-512" hashValue="DWHoXu0nix7CIVy1DY2sq9CPLUwcoGcX8YHLRsrTxmOS8g19Qzw66h/xAPPLZPgLijru/DP0XeMGXBphcVa8Lw==" saltValue="cfFUEdT9g2TfQSiyj/XJew==" spinCount="100000" sheet="1" formatColumns="0" formatRows="0"/>
  <mergeCells count="77">
    <mergeCell ref="D7:H7"/>
    <mergeCell ref="D9:H9"/>
    <mergeCell ref="D10:H10"/>
    <mergeCell ref="D11:H11"/>
    <mergeCell ref="D13:H13"/>
    <mergeCell ref="D18:E18"/>
    <mergeCell ref="D19:E19"/>
    <mergeCell ref="D14:E15"/>
    <mergeCell ref="G14:G15"/>
    <mergeCell ref="H14:H15"/>
    <mergeCell ref="D16:E16"/>
    <mergeCell ref="D17:E17"/>
    <mergeCell ref="D22:E22"/>
    <mergeCell ref="D23:E23"/>
    <mergeCell ref="D24:E24"/>
    <mergeCell ref="D20:E20"/>
    <mergeCell ref="D21:E21"/>
    <mergeCell ref="D28:E28"/>
    <mergeCell ref="D29:E29"/>
    <mergeCell ref="D30:E30"/>
    <mergeCell ref="D25:E25"/>
    <mergeCell ref="D26:E26"/>
    <mergeCell ref="D27:E27"/>
    <mergeCell ref="D34:E34"/>
    <mergeCell ref="D35:E35"/>
    <mergeCell ref="D31:E31"/>
    <mergeCell ref="D32:E32"/>
    <mergeCell ref="D33:E33"/>
    <mergeCell ref="D38:E38"/>
    <mergeCell ref="D39:E39"/>
    <mergeCell ref="D36:E36"/>
    <mergeCell ref="D37:E37"/>
    <mergeCell ref="D42:E42"/>
    <mergeCell ref="D43:E43"/>
    <mergeCell ref="D40:E40"/>
    <mergeCell ref="D41:E41"/>
    <mergeCell ref="D48:E48"/>
    <mergeCell ref="D49:E49"/>
    <mergeCell ref="D44:E44"/>
    <mergeCell ref="D45:E45"/>
    <mergeCell ref="D46:E46"/>
    <mergeCell ref="D47:E47"/>
    <mergeCell ref="D52:E52"/>
    <mergeCell ref="D53:E53"/>
    <mergeCell ref="D54:E54"/>
    <mergeCell ref="D50:E50"/>
    <mergeCell ref="D51:E51"/>
    <mergeCell ref="D58:E58"/>
    <mergeCell ref="D59:E59"/>
    <mergeCell ref="D55:E55"/>
    <mergeCell ref="D56:E56"/>
    <mergeCell ref="D57:E57"/>
    <mergeCell ref="D62:E62"/>
    <mergeCell ref="D63:E63"/>
    <mergeCell ref="D60:E60"/>
    <mergeCell ref="D61:E61"/>
    <mergeCell ref="D66:E66"/>
    <mergeCell ref="D67:E67"/>
    <mergeCell ref="D64:E64"/>
    <mergeCell ref="D65:E65"/>
    <mergeCell ref="D70:E70"/>
    <mergeCell ref="D71:E71"/>
    <mergeCell ref="D72:E72"/>
    <mergeCell ref="D73:E73"/>
    <mergeCell ref="D68:E68"/>
    <mergeCell ref="D69:E69"/>
    <mergeCell ref="D76:E76"/>
    <mergeCell ref="D77:E77"/>
    <mergeCell ref="D74:E74"/>
    <mergeCell ref="D75:E75"/>
    <mergeCell ref="D84:E84"/>
    <mergeCell ref="D81:E81"/>
    <mergeCell ref="D82:E82"/>
    <mergeCell ref="D83:E83"/>
    <mergeCell ref="D78:E78"/>
    <mergeCell ref="D79:E79"/>
    <mergeCell ref="D80:E80"/>
  </mergeCells>
  <phoneticPr fontId="8" type="noConversion"/>
  <conditionalFormatting sqref="C1:C1048576">
    <cfRule type="duplicateValues" dxfId="2" priority="1"/>
  </conditionalFormatting>
  <dataValidations count="1">
    <dataValidation type="decimal" showErrorMessage="1" errorTitle="Kesalahan Jenis Data" error="Data yang dimasukkan harus berupa Angka!" sqref="G82:H82 G47:H48 J17:J21 G17:H21 G53:H54 G50:H51 G32:H43 F87 G29:H30 G26:H27 G23:H24 G56:H69 J82 J79:J80 J73:J77 J56:J69 J53:J54 J50:J51 J47:J48 J32:J43 J29:J30 J26:J27 J23:J24 G73:H80" xr:uid="{00000000-0002-0000-0400-000000000000}">
      <formula1>-1000000000000000000</formula1>
      <formula2>1000000000000000000</formula2>
    </dataValidation>
  </dataValidations>
  <pageMargins left="0.7" right="0.7" top="0.75" bottom="0.75" header="0.3" footer="0.3"/>
  <pageSetup orientation="portrait" horizontalDpi="1200" verticalDpi="1200" r:id="rId1"/>
  <customProperties>
    <customPr name="QAA_DRILLPATH_NODE_ID" r:id="rId2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theme="0"/>
  </sheetPr>
  <dimension ref="A2:G85"/>
  <sheetViews>
    <sheetView showGridLines="0" tabSelected="1" topLeftCell="C1" zoomScale="85" zoomScaleNormal="85" workbookViewId="0">
      <selection activeCell="C1" sqref="C1"/>
    </sheetView>
  </sheetViews>
  <sheetFormatPr defaultColWidth="9.140625" defaultRowHeight="15.75"/>
  <cols>
    <col min="1" max="1" width="15.85546875" style="44" hidden="1" customWidth="1"/>
    <col min="2" max="2" width="12" style="44" hidden="1" customWidth="1"/>
    <col min="3" max="3" width="20" style="44" customWidth="1"/>
    <col min="4" max="4" width="69.42578125" style="44" customWidth="1"/>
    <col min="5" max="6" width="30" style="55" customWidth="1"/>
    <col min="7" max="7" width="1" style="44" customWidth="1"/>
    <col min="8" max="8" width="9.140625" style="44" customWidth="1"/>
    <col min="9" max="16384" width="9.140625" style="44"/>
  </cols>
  <sheetData>
    <row r="2" spans="1:7" ht="5.0999999999999996" customHeight="1">
      <c r="B2" s="45" t="s">
        <v>327</v>
      </c>
      <c r="C2" s="7"/>
      <c r="D2" s="7"/>
      <c r="E2" s="54"/>
      <c r="F2" s="54"/>
      <c r="G2" s="7"/>
    </row>
    <row r="3" spans="1:7" hidden="1">
      <c r="B3" s="45" t="s">
        <v>130</v>
      </c>
      <c r="C3" s="7"/>
      <c r="D3" s="7"/>
      <c r="E3" s="54"/>
      <c r="F3" s="54"/>
      <c r="G3" s="7"/>
    </row>
    <row r="4" spans="1:7" hidden="1">
      <c r="B4" s="7"/>
      <c r="C4" s="7"/>
      <c r="D4" s="7"/>
      <c r="E4" s="54"/>
      <c r="F4" s="54"/>
      <c r="G4" s="7"/>
    </row>
    <row r="5" spans="1:7" hidden="1">
      <c r="B5" s="7"/>
      <c r="C5" s="7"/>
      <c r="D5" s="7"/>
      <c r="E5" s="54"/>
      <c r="F5" s="54"/>
      <c r="G5" s="7"/>
    </row>
    <row r="6" spans="1:7" hidden="1">
      <c r="B6" s="7"/>
      <c r="C6" s="7"/>
      <c r="D6" s="7"/>
      <c r="E6" s="54"/>
      <c r="F6" s="54"/>
      <c r="G6" s="7"/>
    </row>
    <row r="7" spans="1:7">
      <c r="B7" s="7"/>
      <c r="C7" s="127" t="str">
        <f>UPPER('Data Umum'!D7)</f>
        <v>PT MANDIRI MANAJEMEN INVESTASI</v>
      </c>
      <c r="D7" s="127"/>
      <c r="E7" s="127"/>
      <c r="F7" s="127"/>
      <c r="G7" s="7"/>
    </row>
    <row r="8" spans="1:7">
      <c r="B8" s="7"/>
      <c r="C8" s="7"/>
      <c r="D8" s="7"/>
      <c r="E8" s="54"/>
      <c r="F8" s="54"/>
      <c r="G8" s="7"/>
    </row>
    <row r="9" spans="1:7">
      <c r="B9" s="7"/>
      <c r="C9" s="128" t="s">
        <v>328</v>
      </c>
      <c r="D9" s="128"/>
      <c r="E9" s="128"/>
      <c r="F9" s="128"/>
      <c r="G9" s="7"/>
    </row>
    <row r="10" spans="1:7">
      <c r="B10" s="7"/>
      <c r="C10" s="128" t="s">
        <v>329</v>
      </c>
      <c r="D10" s="128"/>
      <c r="E10" s="128"/>
      <c r="F10" s="128"/>
      <c r="G10" s="7"/>
    </row>
    <row r="11" spans="1:7">
      <c r="B11" s="7"/>
      <c r="C11" s="128" t="str">
        <f>"Untuk Tahun yang Berakhir Pada 31 Desember "&amp;CONCATENATE(TEXT('Data Umum'!D9, "YYYY"))</f>
        <v>Untuk Tahun yang Berakhir Pada 31 Desember 2025</v>
      </c>
      <c r="D11" s="128"/>
      <c r="E11" s="128"/>
      <c r="F11" s="128"/>
      <c r="G11" s="7"/>
    </row>
    <row r="12" spans="1:7" hidden="1">
      <c r="B12" s="7"/>
      <c r="C12" s="7"/>
      <c r="D12" s="7"/>
      <c r="E12" s="54"/>
      <c r="F12" s="54"/>
      <c r="G12" s="7"/>
    </row>
    <row r="13" spans="1:7">
      <c r="B13" s="7"/>
      <c r="C13" s="129"/>
      <c r="D13" s="130"/>
      <c r="E13" s="130"/>
      <c r="F13" s="130"/>
      <c r="G13" s="7"/>
    </row>
    <row r="14" spans="1:7">
      <c r="B14" s="7"/>
      <c r="C14" s="46"/>
      <c r="D14" s="47"/>
      <c r="E14" s="132" t="str">
        <f>"Jumlah (Dalam Rupiah)"</f>
        <v>Jumlah (Dalam Rupiah)</v>
      </c>
      <c r="F14" s="133"/>
      <c r="G14" s="7"/>
    </row>
    <row r="15" spans="1:7">
      <c r="A15" s="48" t="s">
        <v>133</v>
      </c>
      <c r="B15" s="48" t="s">
        <v>134</v>
      </c>
      <c r="C15" s="134" t="s">
        <v>132</v>
      </c>
      <c r="D15" s="135"/>
      <c r="E15" s="131" t="str">
        <f>CONCATENATE(TEXT('Data Umum'!D9, "YYYY"))</f>
        <v>2025</v>
      </c>
      <c r="F15" s="131" t="str">
        <f>CONCATENATE(TEXT(DATE(YEAR('Data Umum'!D9), MONTH('Data Umum'!D9)-12, DAY('Data Umum'!D9)), "YYYY"))</f>
        <v>2024</v>
      </c>
      <c r="G15" s="7"/>
    </row>
    <row r="16" spans="1:7">
      <c r="A16" s="7" t="s">
        <v>330</v>
      </c>
      <c r="B16" s="49" t="s">
        <v>137</v>
      </c>
      <c r="C16" s="108" t="s">
        <v>331</v>
      </c>
      <c r="D16" s="109"/>
      <c r="E16" s="78">
        <f>E17+E31</f>
        <v>308970678934</v>
      </c>
      <c r="F16" s="78">
        <f>F17+F31</f>
        <v>308233286872</v>
      </c>
      <c r="G16" s="7"/>
    </row>
    <row r="17" spans="1:7">
      <c r="A17" s="50" t="s">
        <v>332</v>
      </c>
      <c r="B17" s="50" t="s">
        <v>141</v>
      </c>
      <c r="C17" s="108" t="s">
        <v>333</v>
      </c>
      <c r="D17" s="124"/>
      <c r="E17" s="78">
        <f>E18+E22+E30</f>
        <v>287496011368</v>
      </c>
      <c r="F17" s="78">
        <f>F18+F22+F30</f>
        <v>294948762371</v>
      </c>
      <c r="G17" s="7"/>
    </row>
    <row r="18" spans="1:7">
      <c r="A18" s="50" t="s">
        <v>334</v>
      </c>
      <c r="B18" s="50" t="s">
        <v>335</v>
      </c>
      <c r="C18" s="122" t="s">
        <v>336</v>
      </c>
      <c r="D18" s="123"/>
      <c r="E18" s="78">
        <f>SUM(E19:E21)</f>
        <v>0</v>
      </c>
      <c r="F18" s="78">
        <f>SUM(F19:F21)</f>
        <v>0</v>
      </c>
      <c r="G18" s="7"/>
    </row>
    <row r="19" spans="1:7">
      <c r="A19" s="7" t="s">
        <v>337</v>
      </c>
      <c r="B19" s="7" t="s">
        <v>338</v>
      </c>
      <c r="C19" s="120" t="s">
        <v>339</v>
      </c>
      <c r="D19" s="121"/>
      <c r="E19" s="65">
        <v>0</v>
      </c>
      <c r="F19" s="65">
        <v>0</v>
      </c>
      <c r="G19" s="7"/>
    </row>
    <row r="20" spans="1:7">
      <c r="A20" s="50" t="s">
        <v>340</v>
      </c>
      <c r="B20" s="50" t="s">
        <v>341</v>
      </c>
      <c r="C20" s="120" t="s">
        <v>342</v>
      </c>
      <c r="D20" s="121"/>
      <c r="E20" s="65">
        <v>0</v>
      </c>
      <c r="F20" s="65">
        <v>0</v>
      </c>
      <c r="G20" s="7"/>
    </row>
    <row r="21" spans="1:7">
      <c r="A21" s="7" t="s">
        <v>343</v>
      </c>
      <c r="B21" s="7" t="s">
        <v>344</v>
      </c>
      <c r="C21" s="120" t="s">
        <v>345</v>
      </c>
      <c r="D21" s="121"/>
      <c r="E21" s="65">
        <v>0</v>
      </c>
      <c r="F21" s="65">
        <v>0</v>
      </c>
      <c r="G21" s="7"/>
    </row>
    <row r="22" spans="1:7">
      <c r="A22" s="50" t="s">
        <v>346</v>
      </c>
      <c r="B22" s="50" t="s">
        <v>347</v>
      </c>
      <c r="C22" s="122" t="s">
        <v>348</v>
      </c>
      <c r="D22" s="123"/>
      <c r="E22" s="78">
        <f>SUM(E23,E27,E28,E29)</f>
        <v>287496011368</v>
      </c>
      <c r="F22" s="78">
        <f>SUM(F23,F27,F28,F29)</f>
        <v>294948762371</v>
      </c>
      <c r="G22" s="7"/>
    </row>
    <row r="23" spans="1:7">
      <c r="A23" s="7" t="s">
        <v>349</v>
      </c>
      <c r="B23" s="51" t="s">
        <v>350</v>
      </c>
      <c r="C23" s="118" t="s">
        <v>351</v>
      </c>
      <c r="D23" s="119"/>
      <c r="E23" s="78">
        <f>SUM(E24:E26)</f>
        <v>287496011368</v>
      </c>
      <c r="F23" s="78">
        <f>SUM(F24:F26)</f>
        <v>294948762371</v>
      </c>
      <c r="G23" s="7"/>
    </row>
    <row r="24" spans="1:7">
      <c r="A24" s="7" t="s">
        <v>352</v>
      </c>
      <c r="B24" s="7" t="s">
        <v>353</v>
      </c>
      <c r="C24" s="136" t="s">
        <v>354</v>
      </c>
      <c r="D24" s="137"/>
      <c r="E24" s="65">
        <v>286630301484</v>
      </c>
      <c r="F24" s="65">
        <v>294861640566</v>
      </c>
      <c r="G24" s="7"/>
    </row>
    <row r="25" spans="1:7">
      <c r="A25" s="7" t="s">
        <v>355</v>
      </c>
      <c r="B25" s="7" t="s">
        <v>356</v>
      </c>
      <c r="C25" s="136" t="s">
        <v>357</v>
      </c>
      <c r="D25" s="137"/>
      <c r="E25" s="65">
        <v>803663448</v>
      </c>
      <c r="F25" s="65">
        <v>1608236</v>
      </c>
      <c r="G25" s="7"/>
    </row>
    <row r="26" spans="1:7">
      <c r="A26" s="7" t="s">
        <v>358</v>
      </c>
      <c r="B26" s="7" t="s">
        <v>359</v>
      </c>
      <c r="C26" s="136" t="s">
        <v>360</v>
      </c>
      <c r="D26" s="137"/>
      <c r="E26" s="65">
        <v>62046436</v>
      </c>
      <c r="F26" s="65">
        <v>85513569</v>
      </c>
      <c r="G26" s="7"/>
    </row>
    <row r="27" spans="1:7">
      <c r="A27" s="7" t="s">
        <v>361</v>
      </c>
      <c r="B27" s="51" t="s">
        <v>362</v>
      </c>
      <c r="C27" s="125" t="s">
        <v>363</v>
      </c>
      <c r="D27" s="126"/>
      <c r="E27" s="65">
        <v>0</v>
      </c>
      <c r="F27" s="65">
        <v>0</v>
      </c>
      <c r="G27" s="7"/>
    </row>
    <row r="28" spans="1:7">
      <c r="A28" s="7" t="s">
        <v>364</v>
      </c>
      <c r="B28" s="51" t="s">
        <v>365</v>
      </c>
      <c r="C28" s="118" t="s">
        <v>366</v>
      </c>
      <c r="D28" s="119"/>
      <c r="E28" s="65">
        <v>0</v>
      </c>
      <c r="F28" s="65">
        <v>0</v>
      </c>
      <c r="G28" s="7"/>
    </row>
    <row r="29" spans="1:7">
      <c r="A29" s="7" t="s">
        <v>367</v>
      </c>
      <c r="B29" s="51" t="s">
        <v>368</v>
      </c>
      <c r="C29" s="118" t="s">
        <v>369</v>
      </c>
      <c r="D29" s="119"/>
      <c r="E29" s="65">
        <v>0</v>
      </c>
      <c r="F29" s="65">
        <v>0</v>
      </c>
      <c r="G29" s="7"/>
    </row>
    <row r="30" spans="1:7">
      <c r="A30" s="50" t="s">
        <v>370</v>
      </c>
      <c r="B30" s="50" t="s">
        <v>371</v>
      </c>
      <c r="C30" s="108" t="s">
        <v>372</v>
      </c>
      <c r="D30" s="124"/>
      <c r="E30" s="65">
        <v>0</v>
      </c>
      <c r="F30" s="65">
        <v>0</v>
      </c>
      <c r="G30" s="7"/>
    </row>
    <row r="31" spans="1:7">
      <c r="A31" s="50" t="s">
        <v>373</v>
      </c>
      <c r="B31" s="50" t="s">
        <v>374</v>
      </c>
      <c r="C31" s="108" t="s">
        <v>375</v>
      </c>
      <c r="D31" s="124"/>
      <c r="E31" s="78">
        <f>E32+E37</f>
        <v>21474667566</v>
      </c>
      <c r="F31" s="78">
        <f>F32+F37</f>
        <v>13284524501</v>
      </c>
      <c r="G31" s="7"/>
    </row>
    <row r="32" spans="1:7">
      <c r="A32" s="50" t="s">
        <v>376</v>
      </c>
      <c r="B32" s="50" t="s">
        <v>377</v>
      </c>
      <c r="C32" s="122" t="s">
        <v>378</v>
      </c>
      <c r="D32" s="123"/>
      <c r="E32" s="78">
        <f>SUM(E33:E36)</f>
        <v>11705659523</v>
      </c>
      <c r="F32" s="78">
        <f>SUM(F33:F36)</f>
        <v>15153283719</v>
      </c>
      <c r="G32" s="7"/>
    </row>
    <row r="33" spans="1:7">
      <c r="A33" s="7" t="s">
        <v>379</v>
      </c>
      <c r="B33" s="52" t="s">
        <v>380</v>
      </c>
      <c r="C33" s="120" t="s">
        <v>381</v>
      </c>
      <c r="D33" s="121"/>
      <c r="E33" s="65">
        <v>11705659523</v>
      </c>
      <c r="F33" s="65">
        <v>15153283719</v>
      </c>
      <c r="G33" s="7"/>
    </row>
    <row r="34" spans="1:7">
      <c r="A34" s="50" t="s">
        <v>382</v>
      </c>
      <c r="B34" s="50" t="s">
        <v>383</v>
      </c>
      <c r="C34" s="120" t="s">
        <v>384</v>
      </c>
      <c r="D34" s="121"/>
      <c r="E34" s="65">
        <v>0</v>
      </c>
      <c r="F34" s="65">
        <v>0</v>
      </c>
      <c r="G34" s="7"/>
    </row>
    <row r="35" spans="1:7">
      <c r="A35" s="50" t="s">
        <v>385</v>
      </c>
      <c r="B35" s="50" t="s">
        <v>386</v>
      </c>
      <c r="C35" s="120" t="s">
        <v>387</v>
      </c>
      <c r="D35" s="121"/>
      <c r="E35" s="65">
        <v>0</v>
      </c>
      <c r="F35" s="65">
        <v>0</v>
      </c>
      <c r="G35" s="7"/>
    </row>
    <row r="36" spans="1:7">
      <c r="A36" s="50" t="s">
        <v>388</v>
      </c>
      <c r="B36" s="50" t="s">
        <v>389</v>
      </c>
      <c r="C36" s="120" t="s">
        <v>390</v>
      </c>
      <c r="D36" s="121"/>
      <c r="E36" s="65">
        <v>0</v>
      </c>
      <c r="F36" s="65">
        <v>0</v>
      </c>
      <c r="G36" s="7"/>
    </row>
    <row r="37" spans="1:7">
      <c r="A37" s="50" t="s">
        <v>391</v>
      </c>
      <c r="B37" s="50" t="s">
        <v>392</v>
      </c>
      <c r="C37" s="122" t="s">
        <v>393</v>
      </c>
      <c r="D37" s="123"/>
      <c r="E37" s="78">
        <f>E38+E41</f>
        <v>9769008043</v>
      </c>
      <c r="F37" s="78">
        <f>F38+F41</f>
        <v>-1868759218</v>
      </c>
      <c r="G37" s="7"/>
    </row>
    <row r="38" spans="1:7">
      <c r="A38" s="50" t="s">
        <v>394</v>
      </c>
      <c r="B38" s="50" t="s">
        <v>395</v>
      </c>
      <c r="C38" s="116" t="s">
        <v>396</v>
      </c>
      <c r="D38" s="117"/>
      <c r="E38" s="78">
        <f>E39+E40</f>
        <v>4560460527</v>
      </c>
      <c r="F38" s="78">
        <f>F39+F40</f>
        <v>569814099</v>
      </c>
      <c r="G38" s="7"/>
    </row>
    <row r="39" spans="1:7">
      <c r="A39" s="50" t="s">
        <v>397</v>
      </c>
      <c r="B39" s="51" t="s">
        <v>398</v>
      </c>
      <c r="C39" s="114" t="s">
        <v>164</v>
      </c>
      <c r="D39" s="115"/>
      <c r="E39" s="112">
        <v>4560460527</v>
      </c>
      <c r="F39" s="65">
        <v>569814099</v>
      </c>
      <c r="G39" s="7"/>
    </row>
    <row r="40" spans="1:7">
      <c r="A40" s="50" t="s">
        <v>399</v>
      </c>
      <c r="B40" s="51" t="s">
        <v>400</v>
      </c>
      <c r="C40" s="114" t="s">
        <v>401</v>
      </c>
      <c r="D40" s="115"/>
      <c r="E40" s="65">
        <v>0</v>
      </c>
      <c r="F40" s="65">
        <v>0</v>
      </c>
      <c r="G40" s="7"/>
    </row>
    <row r="41" spans="1:7">
      <c r="A41" s="50" t="s">
        <v>402</v>
      </c>
      <c r="B41" s="50" t="s">
        <v>403</v>
      </c>
      <c r="C41" s="116" t="s">
        <v>404</v>
      </c>
      <c r="D41" s="117"/>
      <c r="E41" s="78">
        <f>E42+E43</f>
        <v>5208547516</v>
      </c>
      <c r="F41" s="78">
        <f>F42+F43</f>
        <v>-2438573317</v>
      </c>
      <c r="G41" s="7"/>
    </row>
    <row r="42" spans="1:7">
      <c r="A42" s="50" t="s">
        <v>405</v>
      </c>
      <c r="B42" s="51" t="s">
        <v>406</v>
      </c>
      <c r="C42" s="114" t="s">
        <v>164</v>
      </c>
      <c r="D42" s="115"/>
      <c r="E42" s="112">
        <v>5208547516</v>
      </c>
      <c r="F42" s="65">
        <v>-2438573317</v>
      </c>
      <c r="G42" s="7"/>
    </row>
    <row r="43" spans="1:7">
      <c r="A43" s="50" t="s">
        <v>407</v>
      </c>
      <c r="B43" s="51" t="s">
        <v>408</v>
      </c>
      <c r="C43" s="114" t="s">
        <v>401</v>
      </c>
      <c r="D43" s="115"/>
      <c r="E43" s="112">
        <v>0</v>
      </c>
      <c r="F43" s="65">
        <v>0</v>
      </c>
      <c r="G43" s="7"/>
    </row>
    <row r="44" spans="1:7">
      <c r="A44" s="7" t="s">
        <v>409</v>
      </c>
      <c r="B44" s="7" t="s">
        <v>137</v>
      </c>
      <c r="C44" s="110" t="s">
        <v>410</v>
      </c>
      <c r="D44" s="111"/>
      <c r="E44" s="78">
        <f>E16</f>
        <v>308970678934</v>
      </c>
      <c r="F44" s="78">
        <f>F16</f>
        <v>308233286872</v>
      </c>
      <c r="G44" s="7"/>
    </row>
    <row r="45" spans="1:7">
      <c r="A45" s="7" t="s">
        <v>411</v>
      </c>
      <c r="B45" s="53" t="s">
        <v>218</v>
      </c>
      <c r="C45" s="108" t="s">
        <v>412</v>
      </c>
      <c r="D45" s="109"/>
      <c r="E45" s="78">
        <f>SUM(E46:E60)</f>
        <v>273832256209</v>
      </c>
      <c r="F45" s="78">
        <f>SUM(F46:F60)</f>
        <v>282514509955</v>
      </c>
      <c r="G45" s="7"/>
    </row>
    <row r="46" spans="1:7" ht="15" customHeight="1">
      <c r="A46" s="7" t="s">
        <v>413</v>
      </c>
      <c r="B46" s="7" t="s">
        <v>221</v>
      </c>
      <c r="C46" s="106" t="s">
        <v>414</v>
      </c>
      <c r="D46" s="113" t="s">
        <v>414</v>
      </c>
      <c r="E46" s="65">
        <v>92033099613</v>
      </c>
      <c r="F46" s="65">
        <v>99173961841</v>
      </c>
      <c r="G46" s="7"/>
    </row>
    <row r="47" spans="1:7">
      <c r="A47" s="7" t="s">
        <v>415</v>
      </c>
      <c r="B47" s="7" t="s">
        <v>228</v>
      </c>
      <c r="C47" s="106" t="s">
        <v>416</v>
      </c>
      <c r="D47" s="113" t="s">
        <v>416</v>
      </c>
      <c r="E47" s="65">
        <v>116215550581</v>
      </c>
      <c r="F47" s="65">
        <v>115735136182</v>
      </c>
      <c r="G47" s="7"/>
    </row>
    <row r="48" spans="1:7">
      <c r="A48" s="7" t="s">
        <v>417</v>
      </c>
      <c r="B48" s="7" t="s">
        <v>236</v>
      </c>
      <c r="C48" s="106" t="s">
        <v>418</v>
      </c>
      <c r="D48" s="113" t="s">
        <v>418</v>
      </c>
      <c r="E48" s="65">
        <v>9721125639</v>
      </c>
      <c r="F48" s="65">
        <v>20454495367</v>
      </c>
      <c r="G48" s="7"/>
    </row>
    <row r="49" spans="1:7" ht="15" customHeight="1">
      <c r="A49" s="7" t="s">
        <v>419</v>
      </c>
      <c r="B49" s="7" t="s">
        <v>243</v>
      </c>
      <c r="C49" s="106" t="s">
        <v>420</v>
      </c>
      <c r="D49" s="113" t="s">
        <v>420</v>
      </c>
      <c r="E49" s="65">
        <v>209325223</v>
      </c>
      <c r="F49" s="65">
        <v>219723904</v>
      </c>
      <c r="G49" s="7"/>
    </row>
    <row r="50" spans="1:7">
      <c r="A50" s="7" t="s">
        <v>421</v>
      </c>
      <c r="B50" s="7" t="s">
        <v>250</v>
      </c>
      <c r="C50" s="106" t="s">
        <v>422</v>
      </c>
      <c r="D50" s="113" t="s">
        <v>422</v>
      </c>
      <c r="E50" s="65">
        <v>9963080634</v>
      </c>
      <c r="F50" s="65">
        <v>7864811632</v>
      </c>
      <c r="G50" s="7"/>
    </row>
    <row r="51" spans="1:7">
      <c r="A51" s="7" t="s">
        <v>423</v>
      </c>
      <c r="B51" s="7" t="s">
        <v>253</v>
      </c>
      <c r="C51" s="106" t="s">
        <v>424</v>
      </c>
      <c r="D51" s="113" t="s">
        <v>424</v>
      </c>
      <c r="E51" s="65">
        <v>3850057851</v>
      </c>
      <c r="F51" s="65">
        <v>4019481390</v>
      </c>
      <c r="G51" s="7"/>
    </row>
    <row r="52" spans="1:7">
      <c r="A52" s="7" t="s">
        <v>425</v>
      </c>
      <c r="B52" s="7" t="s">
        <v>255</v>
      </c>
      <c r="C52" s="106" t="s">
        <v>426</v>
      </c>
      <c r="D52" s="113" t="s">
        <v>426</v>
      </c>
      <c r="E52" s="65">
        <v>7648624529</v>
      </c>
      <c r="F52" s="65">
        <v>7020205959</v>
      </c>
      <c r="G52" s="7"/>
    </row>
    <row r="53" spans="1:7">
      <c r="A53" s="7" t="s">
        <v>427</v>
      </c>
      <c r="B53" s="7" t="s">
        <v>259</v>
      </c>
      <c r="C53" s="106" t="s">
        <v>428</v>
      </c>
      <c r="D53" s="113" t="s">
        <v>428</v>
      </c>
      <c r="E53" s="65">
        <v>89200000</v>
      </c>
      <c r="F53" s="65">
        <v>78900000</v>
      </c>
      <c r="G53" s="7"/>
    </row>
    <row r="54" spans="1:7" ht="15" customHeight="1">
      <c r="A54" s="7" t="s">
        <v>429</v>
      </c>
      <c r="B54" s="7" t="s">
        <v>261</v>
      </c>
      <c r="C54" s="106" t="s">
        <v>430</v>
      </c>
      <c r="D54" s="113" t="s">
        <v>430</v>
      </c>
      <c r="E54" s="65">
        <v>12514066354</v>
      </c>
      <c r="F54" s="65">
        <v>7398067761</v>
      </c>
      <c r="G54" s="7"/>
    </row>
    <row r="55" spans="1:7" ht="15" customHeight="1">
      <c r="A55" s="7" t="s">
        <v>431</v>
      </c>
      <c r="B55" s="7" t="s">
        <v>265</v>
      </c>
      <c r="C55" s="106" t="s">
        <v>432</v>
      </c>
      <c r="D55" s="113" t="s">
        <v>432</v>
      </c>
      <c r="E55" s="65">
        <v>627775843</v>
      </c>
      <c r="F55" s="65">
        <v>565592925</v>
      </c>
      <c r="G55" s="7"/>
    </row>
    <row r="56" spans="1:7">
      <c r="A56" s="7" t="s">
        <v>433</v>
      </c>
      <c r="B56" s="7" t="s">
        <v>267</v>
      </c>
      <c r="C56" s="106" t="s">
        <v>434</v>
      </c>
      <c r="D56" s="113" t="s">
        <v>434</v>
      </c>
      <c r="E56" s="65">
        <v>3132060793</v>
      </c>
      <c r="F56" s="65">
        <v>4274769488</v>
      </c>
      <c r="G56" s="7"/>
    </row>
    <row r="57" spans="1:7" ht="15" customHeight="1">
      <c r="A57" s="7" t="s">
        <v>435</v>
      </c>
      <c r="B57" s="7" t="s">
        <v>271</v>
      </c>
      <c r="C57" s="106" t="s">
        <v>436</v>
      </c>
      <c r="D57" s="113" t="s">
        <v>436</v>
      </c>
      <c r="E57" s="65">
        <v>1502126605</v>
      </c>
      <c r="F57" s="65">
        <v>1125101225</v>
      </c>
      <c r="G57" s="7"/>
    </row>
    <row r="58" spans="1:7" ht="15" customHeight="1">
      <c r="A58" s="7" t="s">
        <v>437</v>
      </c>
      <c r="B58" s="7" t="s">
        <v>274</v>
      </c>
      <c r="C58" s="106" t="s">
        <v>438</v>
      </c>
      <c r="D58" s="113" t="s">
        <v>438</v>
      </c>
      <c r="E58" s="65">
        <v>0</v>
      </c>
      <c r="F58" s="65">
        <v>0</v>
      </c>
      <c r="G58" s="7"/>
    </row>
    <row r="59" spans="1:7">
      <c r="A59" s="7" t="s">
        <v>439</v>
      </c>
      <c r="B59" s="7" t="s">
        <v>277</v>
      </c>
      <c r="C59" s="106" t="s">
        <v>440</v>
      </c>
      <c r="D59" s="113" t="s">
        <v>440</v>
      </c>
      <c r="E59" s="65">
        <v>14823003457</v>
      </c>
      <c r="F59" s="65">
        <v>12683030521</v>
      </c>
      <c r="G59" s="7"/>
    </row>
    <row r="60" spans="1:7">
      <c r="A60" s="7" t="s">
        <v>441</v>
      </c>
      <c r="B60" s="7" t="s">
        <v>279</v>
      </c>
      <c r="C60" s="106" t="s">
        <v>442</v>
      </c>
      <c r="D60" s="113" t="s">
        <v>442</v>
      </c>
      <c r="E60" s="65">
        <v>1503159087</v>
      </c>
      <c r="F60" s="65">
        <v>1901231760</v>
      </c>
      <c r="G60" s="7"/>
    </row>
    <row r="61" spans="1:7">
      <c r="A61" s="7" t="s">
        <v>443</v>
      </c>
      <c r="B61" s="49" t="s">
        <v>218</v>
      </c>
      <c r="C61" s="108" t="s">
        <v>444</v>
      </c>
      <c r="D61" s="109"/>
      <c r="E61" s="78">
        <f>E45</f>
        <v>273832256209</v>
      </c>
      <c r="F61" s="78">
        <f>F45</f>
        <v>282514509955</v>
      </c>
      <c r="G61" s="7"/>
    </row>
    <row r="62" spans="1:7">
      <c r="A62" s="7" t="s">
        <v>445</v>
      </c>
      <c r="B62" s="49" t="s">
        <v>287</v>
      </c>
      <c r="C62" s="108" t="s">
        <v>446</v>
      </c>
      <c r="D62" s="109"/>
      <c r="E62" s="78">
        <f>E44-E61</f>
        <v>35138422725</v>
      </c>
      <c r="F62" s="78">
        <f>F44-F61</f>
        <v>25718776917</v>
      </c>
      <c r="G62" s="7"/>
    </row>
    <row r="63" spans="1:7">
      <c r="A63" s="50" t="s">
        <v>447</v>
      </c>
      <c r="B63" s="50" t="s">
        <v>325</v>
      </c>
      <c r="C63" s="110" t="s">
        <v>448</v>
      </c>
      <c r="D63" s="111"/>
      <c r="E63" s="65">
        <v>74740600</v>
      </c>
      <c r="F63" s="65">
        <v>105846389</v>
      </c>
      <c r="G63" s="7"/>
    </row>
    <row r="64" spans="1:7">
      <c r="A64" s="50" t="s">
        <v>449</v>
      </c>
      <c r="B64" s="50" t="s">
        <v>450</v>
      </c>
      <c r="C64" s="110" t="s">
        <v>451</v>
      </c>
      <c r="D64" s="111"/>
      <c r="E64" s="65">
        <f>2624357303-15538302-226543229</f>
        <v>2382275772</v>
      </c>
      <c r="F64" s="65">
        <f>4268593502-1017779342</f>
        <v>3250814160</v>
      </c>
      <c r="G64" s="7"/>
    </row>
    <row r="65" spans="1:7">
      <c r="A65" s="50" t="s">
        <v>452</v>
      </c>
      <c r="B65" s="50" t="s">
        <v>453</v>
      </c>
      <c r="C65" s="110" t="s">
        <v>454</v>
      </c>
      <c r="D65" s="111"/>
      <c r="E65" s="65">
        <v>0</v>
      </c>
      <c r="F65" s="65">
        <v>0</v>
      </c>
      <c r="G65" s="7"/>
    </row>
    <row r="66" spans="1:7">
      <c r="A66" s="7" t="s">
        <v>455</v>
      </c>
      <c r="B66" s="49" t="s">
        <v>456</v>
      </c>
      <c r="C66" s="108" t="s">
        <v>457</v>
      </c>
      <c r="D66" s="109"/>
      <c r="E66" s="78">
        <f>E62+E63-E64-E65</f>
        <v>32830887553</v>
      </c>
      <c r="F66" s="78">
        <f>F62+F63-F64-F65</f>
        <v>22573809146</v>
      </c>
      <c r="G66" s="7"/>
    </row>
    <row r="67" spans="1:7">
      <c r="A67" s="7" t="s">
        <v>458</v>
      </c>
      <c r="B67" s="49" t="s">
        <v>459</v>
      </c>
      <c r="C67" s="110" t="s">
        <v>460</v>
      </c>
      <c r="D67" s="111"/>
      <c r="E67" s="65">
        <v>5558280818</v>
      </c>
      <c r="F67" s="65">
        <v>7145263282</v>
      </c>
      <c r="G67" s="7"/>
    </row>
    <row r="68" spans="1:7">
      <c r="A68" s="7" t="s">
        <v>461</v>
      </c>
      <c r="B68" s="49" t="s">
        <v>462</v>
      </c>
      <c r="C68" s="108" t="s">
        <v>463</v>
      </c>
      <c r="D68" s="109"/>
      <c r="E68" s="78">
        <f>E66-E67</f>
        <v>27272606735</v>
      </c>
      <c r="F68" s="78">
        <f>F66-F67</f>
        <v>15428545864</v>
      </c>
      <c r="G68" s="7"/>
    </row>
    <row r="69" spans="1:7">
      <c r="A69" s="7" t="s">
        <v>464</v>
      </c>
      <c r="B69" s="49" t="s">
        <v>465</v>
      </c>
      <c r="C69" s="110" t="s">
        <v>310</v>
      </c>
      <c r="D69" s="111"/>
      <c r="E69" s="78">
        <f>E70+E71</f>
        <v>-969224422</v>
      </c>
      <c r="F69" s="78">
        <f>F70+F71</f>
        <v>205426218</v>
      </c>
      <c r="G69" s="7"/>
    </row>
    <row r="70" spans="1:7">
      <c r="A70" s="50" t="s">
        <v>466</v>
      </c>
      <c r="B70" s="51" t="s">
        <v>467</v>
      </c>
      <c r="C70" s="106" t="s">
        <v>313</v>
      </c>
      <c r="D70" s="107"/>
      <c r="E70" s="65">
        <v>-969224422</v>
      </c>
      <c r="F70" s="65">
        <v>205426218</v>
      </c>
      <c r="G70" s="7"/>
    </row>
    <row r="71" spans="1:7">
      <c r="A71" s="50" t="s">
        <v>468</v>
      </c>
      <c r="B71" s="51" t="s">
        <v>469</v>
      </c>
      <c r="C71" s="106" t="s">
        <v>316</v>
      </c>
      <c r="D71" s="107"/>
      <c r="E71" s="65">
        <v>0</v>
      </c>
      <c r="F71" s="65">
        <v>0</v>
      </c>
      <c r="G71" s="7"/>
    </row>
    <row r="72" spans="1:7">
      <c r="A72" s="7" t="s">
        <v>470</v>
      </c>
      <c r="B72" s="49" t="s">
        <v>471</v>
      </c>
      <c r="C72" s="110" t="s">
        <v>472</v>
      </c>
      <c r="D72" s="111"/>
      <c r="E72" s="65">
        <v>-213229373</v>
      </c>
      <c r="F72" s="65">
        <v>45193768</v>
      </c>
      <c r="G72" s="7"/>
    </row>
    <row r="73" spans="1:7">
      <c r="A73" s="7" t="s">
        <v>473</v>
      </c>
      <c r="B73" s="49" t="s">
        <v>474</v>
      </c>
      <c r="C73" s="108" t="s">
        <v>475</v>
      </c>
      <c r="D73" s="109"/>
      <c r="E73" s="78">
        <f>E69-E72</f>
        <v>-755995049</v>
      </c>
      <c r="F73" s="78">
        <f>F69-F72</f>
        <v>160232450</v>
      </c>
      <c r="G73" s="7"/>
    </row>
    <row r="74" spans="1:7">
      <c r="A74" s="7" t="s">
        <v>476</v>
      </c>
      <c r="B74" s="49" t="s">
        <v>477</v>
      </c>
      <c r="C74" s="108" t="s">
        <v>478</v>
      </c>
      <c r="D74" s="109"/>
      <c r="E74" s="78">
        <f>E68+E73</f>
        <v>26516611686</v>
      </c>
      <c r="F74" s="78">
        <f>F68+F73</f>
        <v>15588778314</v>
      </c>
      <c r="G74" s="7"/>
    </row>
    <row r="75" spans="1:7">
      <c r="A75" s="7" t="s">
        <v>479</v>
      </c>
      <c r="B75" s="49" t="s">
        <v>480</v>
      </c>
      <c r="C75" s="110" t="s">
        <v>481</v>
      </c>
      <c r="D75" s="111"/>
      <c r="E75" s="84">
        <f>IFERROR(E76, 0)+IFERROR(E77, 0)</f>
        <v>27272606735</v>
      </c>
      <c r="F75" s="84">
        <f>IFERROR(F76, 0)+IFERROR(F77, 0)</f>
        <v>15428545863.999998</v>
      </c>
      <c r="G75" s="7"/>
    </row>
    <row r="76" spans="1:7">
      <c r="A76" s="7" t="s">
        <v>482</v>
      </c>
      <c r="B76" s="7" t="s">
        <v>483</v>
      </c>
      <c r="C76" s="106" t="s">
        <v>484</v>
      </c>
      <c r="D76" s="107"/>
      <c r="E76" s="65">
        <f>0.9993*E68</f>
        <v>27253515910.2855</v>
      </c>
      <c r="F76" s="65">
        <f>0.9993*F68</f>
        <v>15417745881.895199</v>
      </c>
      <c r="G76" s="7"/>
    </row>
    <row r="77" spans="1:7">
      <c r="A77" s="7" t="s">
        <v>485</v>
      </c>
      <c r="B77" s="7" t="s">
        <v>486</v>
      </c>
      <c r="C77" s="106" t="s">
        <v>487</v>
      </c>
      <c r="D77" s="107"/>
      <c r="E77" s="65">
        <f>0.0007*E68</f>
        <v>19090824.714499999</v>
      </c>
      <c r="F77" s="65">
        <f>0.0007*F68</f>
        <v>10799982.104800001</v>
      </c>
      <c r="G77" s="7"/>
    </row>
    <row r="78" spans="1:7">
      <c r="A78" s="7" t="s">
        <v>488</v>
      </c>
      <c r="B78" s="7" t="s">
        <v>480</v>
      </c>
      <c r="C78" s="108" t="s">
        <v>489</v>
      </c>
      <c r="D78" s="109"/>
      <c r="E78" s="78">
        <f>E76+E77</f>
        <v>27272606735</v>
      </c>
      <c r="F78" s="78">
        <f>F76+F77</f>
        <v>15428545863.999998</v>
      </c>
      <c r="G78" s="7"/>
    </row>
    <row r="79" spans="1:7">
      <c r="A79" s="7" t="s">
        <v>490</v>
      </c>
      <c r="B79" s="49" t="s">
        <v>491</v>
      </c>
      <c r="C79" s="110" t="s">
        <v>492</v>
      </c>
      <c r="D79" s="111"/>
      <c r="E79" s="84">
        <f>IFERROR(E80, 0)+IFERROR(E81, 0)</f>
        <v>26516611685.999996</v>
      </c>
      <c r="F79" s="84">
        <f>IFERROR(F80, 0)+IFERROR(F81, 0)</f>
        <v>15588778313.999998</v>
      </c>
      <c r="G79" s="7"/>
    </row>
    <row r="80" spans="1:7">
      <c r="A80" s="7" t="s">
        <v>493</v>
      </c>
      <c r="B80" s="7" t="s">
        <v>494</v>
      </c>
      <c r="C80" s="106" t="s">
        <v>484</v>
      </c>
      <c r="D80" s="107"/>
      <c r="E80" s="65">
        <f>0.9993*E74</f>
        <v>26498050057.819798</v>
      </c>
      <c r="F80" s="65">
        <f>0.9993*F74</f>
        <v>15577866169.180199</v>
      </c>
      <c r="G80" s="7"/>
    </row>
    <row r="81" spans="1:7">
      <c r="A81" s="7" t="s">
        <v>495</v>
      </c>
      <c r="B81" s="7" t="s">
        <v>496</v>
      </c>
      <c r="C81" s="106" t="s">
        <v>487</v>
      </c>
      <c r="D81" s="107"/>
      <c r="E81" s="67">
        <f>0.0007*E74</f>
        <v>18561628.180199999</v>
      </c>
      <c r="F81" s="67">
        <f>0.0007*F74</f>
        <v>10912144.819800001</v>
      </c>
      <c r="G81" s="7"/>
    </row>
    <row r="82" spans="1:7">
      <c r="A82" s="7" t="s">
        <v>497</v>
      </c>
      <c r="B82" s="7" t="s">
        <v>491</v>
      </c>
      <c r="C82" s="108" t="s">
        <v>498</v>
      </c>
      <c r="D82" s="109"/>
      <c r="E82" s="78">
        <f>SUM(E80:E81)</f>
        <v>26516611685.999996</v>
      </c>
      <c r="F82" s="78">
        <f>SUM(F80:F81)</f>
        <v>15588778313.999998</v>
      </c>
      <c r="G82" s="7"/>
    </row>
    <row r="83" spans="1:7">
      <c r="A83" s="50" t="s">
        <v>499</v>
      </c>
      <c r="B83" s="50" t="s">
        <v>500</v>
      </c>
      <c r="C83" s="110" t="s">
        <v>501</v>
      </c>
      <c r="D83" s="111"/>
      <c r="E83" s="112">
        <f>E68/1500</f>
        <v>18181737.823333334</v>
      </c>
      <c r="F83" s="65">
        <f>F68/1500</f>
        <v>10285697.242666667</v>
      </c>
      <c r="G83" s="7"/>
    </row>
    <row r="84" spans="1:7">
      <c r="B84" s="7"/>
      <c r="C84" s="7"/>
      <c r="D84" s="7"/>
      <c r="E84" s="54"/>
      <c r="F84" s="54"/>
      <c r="G84" s="7"/>
    </row>
    <row r="85" spans="1:7" ht="45" customHeight="1">
      <c r="B85" s="7"/>
      <c r="C85" s="7"/>
      <c r="D85" s="7"/>
      <c r="E85" s="54"/>
      <c r="F85" s="54"/>
      <c r="G85" s="7"/>
    </row>
  </sheetData>
  <sheetProtection algorithmName="SHA-512" hashValue="9TNIE7YOwnxxAKHP0vdpuXudUrqv3mrolEVQ/7nSGCuSrL9pMiAGAVPVVEm2XNeN5LZ9KIWKkfnm3EcMAfPPcw==" saltValue="yCAzz/zJQ2lZzDAeB8m17Q==" spinCount="100000" sheet="1" formatColumns="0" formatRows="0"/>
  <autoFilter ref="A15:F15" xr:uid="{00000000-0009-0000-0000-000005000000}">
    <filterColumn colId="2" showButton="0"/>
  </autoFilter>
  <mergeCells count="81">
    <mergeCell ref="C20:D20"/>
    <mergeCell ref="C21:D21"/>
    <mergeCell ref="C25:D25"/>
    <mergeCell ref="C24:D24"/>
    <mergeCell ref="C23:D23"/>
    <mergeCell ref="C27:D27"/>
    <mergeCell ref="C7:F7"/>
    <mergeCell ref="C9:F9"/>
    <mergeCell ref="C10:F10"/>
    <mergeCell ref="C11:F11"/>
    <mergeCell ref="C13:F13"/>
    <mergeCell ref="C17:D17"/>
    <mergeCell ref="C18:D18"/>
    <mergeCell ref="C19:D19"/>
    <mergeCell ref="E15"/>
    <mergeCell ref="E14:F14"/>
    <mergeCell ref="F15"/>
    <mergeCell ref="C16:D16"/>
    <mergeCell ref="C15:D15"/>
    <mergeCell ref="C22:D22"/>
    <mergeCell ref="C26:D26"/>
    <mergeCell ref="C41:D41"/>
    <mergeCell ref="C42:D42"/>
    <mergeCell ref="C28:D28"/>
    <mergeCell ref="C39:D39"/>
    <mergeCell ref="E39"/>
    <mergeCell ref="C40:D40"/>
    <mergeCell ref="C36:D36"/>
    <mergeCell ref="C37:D37"/>
    <mergeCell ref="C38:D38"/>
    <mergeCell ref="C34:D34"/>
    <mergeCell ref="C35:D35"/>
    <mergeCell ref="C31:D31"/>
    <mergeCell ref="C32:D32"/>
    <mergeCell ref="C33:D33"/>
    <mergeCell ref="C29:D29"/>
    <mergeCell ref="C30:D30"/>
    <mergeCell ref="E42"/>
    <mergeCell ref="C43:D43"/>
    <mergeCell ref="E43"/>
    <mergeCell ref="C55:D55"/>
    <mergeCell ref="C56:D56"/>
    <mergeCell ref="C53:D53"/>
    <mergeCell ref="C54:D54"/>
    <mergeCell ref="C51:D51"/>
    <mergeCell ref="C52:D52"/>
    <mergeCell ref="C49:D49"/>
    <mergeCell ref="C50:D50"/>
    <mergeCell ref="C47:D47"/>
    <mergeCell ref="C48:D48"/>
    <mergeCell ref="C44:D44"/>
    <mergeCell ref="C45:D45"/>
    <mergeCell ref="C46:D46"/>
    <mergeCell ref="C57:D57"/>
    <mergeCell ref="C58:D58"/>
    <mergeCell ref="C59:D59"/>
    <mergeCell ref="C68:D68"/>
    <mergeCell ref="C69:D69"/>
    <mergeCell ref="C63:D63"/>
    <mergeCell ref="C64:D64"/>
    <mergeCell ref="C60:D60"/>
    <mergeCell ref="C61:D61"/>
    <mergeCell ref="C62:D62"/>
    <mergeCell ref="C70:D70"/>
    <mergeCell ref="C65:D65"/>
    <mergeCell ref="C66:D66"/>
    <mergeCell ref="C67:D67"/>
    <mergeCell ref="C73:D73"/>
    <mergeCell ref="C74:D74"/>
    <mergeCell ref="C75:D75"/>
    <mergeCell ref="C76:D76"/>
    <mergeCell ref="C71:D71"/>
    <mergeCell ref="C72:D72"/>
    <mergeCell ref="C77:D77"/>
    <mergeCell ref="C78:D78"/>
    <mergeCell ref="C82:D82"/>
    <mergeCell ref="C83:D83"/>
    <mergeCell ref="E83"/>
    <mergeCell ref="C79:D79"/>
    <mergeCell ref="C80:D80"/>
    <mergeCell ref="C81:D81"/>
  </mergeCells>
  <phoneticPr fontId="8" type="noConversion"/>
  <conditionalFormatting sqref="A1:A1048576">
    <cfRule type="duplicateValues" dxfId="1" priority="1"/>
  </conditionalFormatting>
  <dataValidations count="1">
    <dataValidation type="decimal" showErrorMessage="1" errorTitle="Kesalahan Jenis Data" error="Data yang dimasukkan harus berupa Angka!" sqref="E67:F67 E63:F65 E46:F60 E39:F40 E42:F43 E33:F36 E19:F21 E24:F30 E70:F72 E76:F77 E80:F83" xr:uid="{00000000-0002-0000-0500-000000000000}">
      <formula1>-1000000000000000000</formula1>
      <formula2>1000000000000000000</formula2>
    </dataValidation>
  </dataValidations>
  <pageMargins left="0.7" right="0.7" top="0.75" bottom="0.75" header="0.3" footer="0.3"/>
  <pageSetup paperSize="9" orientation="portrait" horizontalDpi="4294967294" verticalDpi="0" r:id="rId1"/>
  <customProperties>
    <customPr name="QAA_DRILLPATH_NODE_ID" r:id="rId2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>
    <tabColor theme="0"/>
  </sheetPr>
  <dimension ref="A2:G51"/>
  <sheetViews>
    <sheetView showGridLines="0" zoomScale="90" zoomScaleNormal="90" workbookViewId="0">
      <pane xSplit="4" ySplit="15" topLeftCell="E16" activePane="bottomRight" state="frozen"/>
      <selection pane="bottomRight" sqref="A1:XFD1048576"/>
      <selection pane="bottomLeft" activeCell="A16" sqref="A16"/>
      <selection pane="topRight" activeCell="E1" sqref="E1"/>
    </sheetView>
  </sheetViews>
  <sheetFormatPr defaultColWidth="9.140625" defaultRowHeight="15.75"/>
  <cols>
    <col min="1" max="1" width="15" style="56" hidden="1" customWidth="1"/>
    <col min="2" max="2" width="17.140625" style="56" hidden="1" customWidth="1"/>
    <col min="3" max="3" width="20" style="55" customWidth="1"/>
    <col min="4" max="4" width="26.5703125" style="55" customWidth="1"/>
    <col min="5" max="6" width="30" style="82" customWidth="1"/>
    <col min="7" max="7" width="2.42578125" style="55" customWidth="1"/>
    <col min="8" max="8" width="9.140625" style="55" customWidth="1"/>
    <col min="9" max="16384" width="9.140625" style="55"/>
  </cols>
  <sheetData>
    <row r="2" spans="1:7" ht="5.0999999999999996" customHeight="1">
      <c r="B2" s="57" t="s">
        <v>502</v>
      </c>
      <c r="C2" s="54"/>
      <c r="D2" s="54"/>
      <c r="E2" s="79"/>
      <c r="F2" s="79"/>
      <c r="G2" s="54"/>
    </row>
    <row r="3" spans="1:7" hidden="1">
      <c r="B3" s="57" t="s">
        <v>130</v>
      </c>
      <c r="C3" s="54"/>
      <c r="D3" s="54"/>
      <c r="E3" s="79"/>
      <c r="F3" s="79"/>
      <c r="G3" s="54"/>
    </row>
    <row r="4" spans="1:7" hidden="1">
      <c r="B4" s="58"/>
      <c r="C4" s="54"/>
      <c r="D4" s="54"/>
      <c r="E4" s="79"/>
      <c r="F4" s="79"/>
      <c r="G4" s="54"/>
    </row>
    <row r="5" spans="1:7" hidden="1">
      <c r="B5" s="58"/>
      <c r="C5" s="54"/>
      <c r="D5" s="54"/>
      <c r="E5" s="79"/>
      <c r="F5" s="79"/>
      <c r="G5" s="54"/>
    </row>
    <row r="6" spans="1:7" hidden="1">
      <c r="B6" s="58"/>
      <c r="C6" s="54"/>
      <c r="D6" s="54"/>
      <c r="E6" s="79"/>
      <c r="F6" s="79"/>
      <c r="G6" s="54"/>
    </row>
    <row r="7" spans="1:7">
      <c r="B7" s="58"/>
      <c r="C7" s="149" t="str">
        <f>UPPER('Data Umum'!D7)</f>
        <v>PT MANDIRI MANAJEMEN INVESTASI</v>
      </c>
      <c r="D7" s="149"/>
      <c r="E7" s="149"/>
      <c r="F7" s="149"/>
      <c r="G7" s="54"/>
    </row>
    <row r="8" spans="1:7">
      <c r="B8" s="58"/>
      <c r="C8" s="54"/>
      <c r="D8" s="54"/>
      <c r="E8" s="79"/>
      <c r="F8" s="79"/>
      <c r="G8" s="54"/>
    </row>
    <row r="9" spans="1:7">
      <c r="B9" s="58"/>
      <c r="C9" s="150" t="s">
        <v>503</v>
      </c>
      <c r="D9" s="150"/>
      <c r="E9" s="150"/>
      <c r="F9" s="150"/>
      <c r="G9" s="54"/>
    </row>
    <row r="10" spans="1:7">
      <c r="B10" s="58"/>
      <c r="C10" s="150" t="s">
        <v>329</v>
      </c>
      <c r="D10" s="150"/>
      <c r="E10" s="150"/>
      <c r="F10" s="150"/>
      <c r="G10" s="54"/>
    </row>
    <row r="11" spans="1:7">
      <c r="B11" s="58"/>
      <c r="C11" s="150" t="str">
        <f>"Untuk Tahun yang Berakhir Pada 31 Desember "&amp;CONCATENATE(TEXT('Data Umum'!D9, "YYYY"))</f>
        <v>Untuk Tahun yang Berakhir Pada 31 Desember 2025</v>
      </c>
      <c r="D11" s="150"/>
      <c r="E11" s="150"/>
      <c r="F11" s="150"/>
      <c r="G11" s="54"/>
    </row>
    <row r="12" spans="1:7" hidden="1">
      <c r="B12" s="58"/>
      <c r="C12" s="54"/>
      <c r="D12" s="54"/>
      <c r="E12" s="79"/>
      <c r="F12" s="79"/>
      <c r="G12" s="54"/>
    </row>
    <row r="13" spans="1:7">
      <c r="B13" s="58"/>
      <c r="C13" s="151"/>
      <c r="D13" s="152"/>
      <c r="E13" s="152"/>
      <c r="F13" s="152"/>
      <c r="G13" s="54"/>
    </row>
    <row r="14" spans="1:7">
      <c r="B14" s="58"/>
      <c r="C14" s="132" t="s">
        <v>132</v>
      </c>
      <c r="D14" s="133"/>
      <c r="E14" s="147" t="str">
        <f>"Jumlah (Dalam Rupiah)"</f>
        <v>Jumlah (Dalam Rupiah)</v>
      </c>
      <c r="F14" s="148"/>
      <c r="G14" s="54"/>
    </row>
    <row r="15" spans="1:7">
      <c r="A15" s="58" t="s">
        <v>504</v>
      </c>
      <c r="B15" s="58" t="s">
        <v>134</v>
      </c>
      <c r="C15" s="144"/>
      <c r="D15" s="145"/>
      <c r="E15" s="146" t="str">
        <f>CONCATENATE(TEXT('Data Umum'!D9, "YYYY"))</f>
        <v>2025</v>
      </c>
      <c r="F15" s="146" t="str">
        <f>CONCATENATE(TEXT(DATE(YEAR('Data Umum'!D9), MONTH('Data Umum'!D9)-12, DAY('Data Umum'!D9)), "YYYY"))</f>
        <v>2024</v>
      </c>
      <c r="G15" s="54"/>
    </row>
    <row r="16" spans="1:7">
      <c r="A16" s="58" t="s">
        <v>505</v>
      </c>
      <c r="B16" s="58" t="s">
        <v>137</v>
      </c>
      <c r="C16" s="138" t="s">
        <v>506</v>
      </c>
      <c r="D16" s="133"/>
      <c r="E16" s="80">
        <f>SUM(E17:E28)</f>
        <v>217379395756</v>
      </c>
      <c r="F16" s="80">
        <f>SUM(F17:F28)</f>
        <v>-130627158648</v>
      </c>
      <c r="G16" s="54"/>
    </row>
    <row r="17" spans="1:7">
      <c r="A17" s="58" t="s">
        <v>507</v>
      </c>
      <c r="B17" s="58" t="s">
        <v>141</v>
      </c>
      <c r="C17" s="139" t="s">
        <v>508</v>
      </c>
      <c r="D17" s="140"/>
      <c r="E17" s="143">
        <v>0</v>
      </c>
      <c r="F17" s="143">
        <v>0</v>
      </c>
      <c r="G17" s="54"/>
    </row>
    <row r="18" spans="1:7" ht="36" customHeight="1">
      <c r="A18" s="58" t="s">
        <v>509</v>
      </c>
      <c r="B18" s="58" t="s">
        <v>143</v>
      </c>
      <c r="C18" s="139" t="s">
        <v>510</v>
      </c>
      <c r="D18" s="140"/>
      <c r="E18" s="81">
        <v>278090164888</v>
      </c>
      <c r="F18" s="81">
        <v>296605060807</v>
      </c>
      <c r="G18" s="54"/>
    </row>
    <row r="19" spans="1:7">
      <c r="A19" s="58" t="s">
        <v>511</v>
      </c>
      <c r="B19" s="58" t="s">
        <v>148</v>
      </c>
      <c r="C19" s="139" t="s">
        <v>512</v>
      </c>
      <c r="D19" s="140"/>
      <c r="E19" s="81">
        <v>11399220894</v>
      </c>
      <c r="F19" s="81">
        <v>15436323884</v>
      </c>
      <c r="G19" s="54"/>
    </row>
    <row r="20" spans="1:7">
      <c r="A20" s="58" t="s">
        <v>513</v>
      </c>
      <c r="B20" s="58" t="s">
        <v>151</v>
      </c>
      <c r="C20" s="139" t="s">
        <v>514</v>
      </c>
      <c r="D20" s="140"/>
      <c r="E20" s="81">
        <v>0</v>
      </c>
      <c r="F20" s="81">
        <v>0</v>
      </c>
      <c r="G20" s="54"/>
    </row>
    <row r="21" spans="1:7">
      <c r="A21" s="58" t="s">
        <v>515</v>
      </c>
      <c r="B21" s="58" t="s">
        <v>153</v>
      </c>
      <c r="C21" s="139" t="s">
        <v>516</v>
      </c>
      <c r="D21" s="140"/>
      <c r="E21" s="81">
        <v>0</v>
      </c>
      <c r="F21" s="81">
        <v>0</v>
      </c>
      <c r="G21" s="54"/>
    </row>
    <row r="22" spans="1:7" ht="29.1" customHeight="1">
      <c r="A22" s="58" t="s">
        <v>517</v>
      </c>
      <c r="B22" s="58" t="s">
        <v>156</v>
      </c>
      <c r="C22" s="139" t="s">
        <v>518</v>
      </c>
      <c r="D22" s="140"/>
      <c r="E22" s="81">
        <v>0</v>
      </c>
      <c r="F22" s="81">
        <v>0</v>
      </c>
      <c r="G22" s="54"/>
    </row>
    <row r="23" spans="1:7">
      <c r="A23" s="58" t="s">
        <v>519</v>
      </c>
      <c r="B23" s="58" t="s">
        <v>165</v>
      </c>
      <c r="C23" s="139" t="s">
        <v>520</v>
      </c>
      <c r="D23" s="140"/>
      <c r="E23" s="81">
        <v>0</v>
      </c>
      <c r="F23" s="81">
        <v>0</v>
      </c>
      <c r="G23" s="54"/>
    </row>
    <row r="24" spans="1:7">
      <c r="A24" s="58" t="s">
        <v>521</v>
      </c>
      <c r="B24" s="58" t="s">
        <v>173</v>
      </c>
      <c r="C24" s="139" t="s">
        <v>522</v>
      </c>
      <c r="D24" s="140"/>
      <c r="E24" s="81">
        <v>0</v>
      </c>
      <c r="F24" s="81">
        <v>0</v>
      </c>
      <c r="G24" s="54"/>
    </row>
    <row r="25" spans="1:7">
      <c r="A25" s="58" t="s">
        <v>523</v>
      </c>
      <c r="B25" s="58" t="s">
        <v>180</v>
      </c>
      <c r="C25" s="139" t="s">
        <v>524</v>
      </c>
      <c r="D25" s="140"/>
      <c r="E25" s="81">
        <v>179521506917</v>
      </c>
      <c r="F25" s="81">
        <v>-171646177522</v>
      </c>
      <c r="G25" s="54"/>
    </row>
    <row r="26" spans="1:7">
      <c r="A26" s="58" t="s">
        <v>525</v>
      </c>
      <c r="B26" s="58" t="s">
        <v>187</v>
      </c>
      <c r="C26" s="139" t="s">
        <v>526</v>
      </c>
      <c r="D26" s="140"/>
      <c r="E26" s="81">
        <v>-254267786935</v>
      </c>
      <c r="F26" s="81">
        <v>-267727847130</v>
      </c>
      <c r="G26" s="54"/>
    </row>
    <row r="27" spans="1:7">
      <c r="A27" s="58" t="s">
        <v>527</v>
      </c>
      <c r="B27" s="58" t="s">
        <v>190</v>
      </c>
      <c r="C27" s="139" t="s">
        <v>528</v>
      </c>
      <c r="D27" s="140"/>
      <c r="E27" s="81">
        <v>-9300890414</v>
      </c>
      <c r="F27" s="81">
        <v>-433361087</v>
      </c>
      <c r="G27" s="54"/>
    </row>
    <row r="28" spans="1:7">
      <c r="A28" s="58" t="s">
        <v>529</v>
      </c>
      <c r="B28" s="58" t="s">
        <v>193</v>
      </c>
      <c r="C28" s="139" t="s">
        <v>530</v>
      </c>
      <c r="D28" s="140"/>
      <c r="E28" s="81">
        <v>11937180406</v>
      </c>
      <c r="F28" s="81">
        <v>-2861157600</v>
      </c>
      <c r="G28" s="54"/>
    </row>
    <row r="29" spans="1:7">
      <c r="A29" s="58" t="s">
        <v>531</v>
      </c>
      <c r="B29" s="58" t="s">
        <v>137</v>
      </c>
      <c r="C29" s="138" t="s">
        <v>532</v>
      </c>
      <c r="D29" s="133"/>
      <c r="E29" s="80">
        <f>E16</f>
        <v>217379395756</v>
      </c>
      <c r="F29" s="80">
        <f>F16</f>
        <v>-130627158648</v>
      </c>
      <c r="G29" s="54"/>
    </row>
    <row r="30" spans="1:7">
      <c r="A30" s="58" t="s">
        <v>533</v>
      </c>
      <c r="B30" s="58" t="s">
        <v>218</v>
      </c>
      <c r="C30" s="138" t="s">
        <v>534</v>
      </c>
      <c r="D30" s="133"/>
      <c r="E30" s="80">
        <f>SUM(E31:E36)</f>
        <v>-5803085104</v>
      </c>
      <c r="F30" s="80">
        <f>SUM(F31:F36)</f>
        <v>-2078869805</v>
      </c>
      <c r="G30" s="54"/>
    </row>
    <row r="31" spans="1:7">
      <c r="A31" s="58" t="s">
        <v>535</v>
      </c>
      <c r="B31" s="58" t="s">
        <v>221</v>
      </c>
      <c r="C31" s="139" t="s">
        <v>536</v>
      </c>
      <c r="D31" s="140"/>
      <c r="E31" s="81">
        <v>0</v>
      </c>
      <c r="F31" s="81">
        <v>0</v>
      </c>
      <c r="G31" s="54"/>
    </row>
    <row r="32" spans="1:7">
      <c r="A32" s="58" t="s">
        <v>537</v>
      </c>
      <c r="B32" s="58" t="s">
        <v>228</v>
      </c>
      <c r="C32" s="139" t="s">
        <v>538</v>
      </c>
      <c r="D32" s="140"/>
      <c r="E32" s="81">
        <v>0</v>
      </c>
      <c r="F32" s="81">
        <v>0</v>
      </c>
      <c r="G32" s="54"/>
    </row>
    <row r="33" spans="1:7">
      <c r="A33" s="58" t="s">
        <v>539</v>
      </c>
      <c r="B33" s="58" t="s">
        <v>236</v>
      </c>
      <c r="C33" s="139" t="s">
        <v>540</v>
      </c>
      <c r="D33" s="140"/>
      <c r="E33" s="81">
        <v>17398244</v>
      </c>
      <c r="F33" s="81">
        <v>0</v>
      </c>
      <c r="G33" s="54"/>
    </row>
    <row r="34" spans="1:7">
      <c r="A34" s="58" t="s">
        <v>541</v>
      </c>
      <c r="B34" s="58" t="s">
        <v>243</v>
      </c>
      <c r="C34" s="139" t="s">
        <v>542</v>
      </c>
      <c r="D34" s="140"/>
      <c r="E34" s="81">
        <v>0</v>
      </c>
      <c r="F34" s="81">
        <v>0</v>
      </c>
      <c r="G34" s="54"/>
    </row>
    <row r="35" spans="1:7">
      <c r="A35" s="58" t="s">
        <v>543</v>
      </c>
      <c r="B35" s="58" t="s">
        <v>250</v>
      </c>
      <c r="C35" s="139" t="s">
        <v>544</v>
      </c>
      <c r="D35" s="140"/>
      <c r="E35" s="81">
        <v>-5214767132</v>
      </c>
      <c r="F35" s="81">
        <v>-1477398918</v>
      </c>
      <c r="G35" s="54"/>
    </row>
    <row r="36" spans="1:7">
      <c r="A36" s="58" t="s">
        <v>545</v>
      </c>
      <c r="B36" s="58" t="s">
        <v>253</v>
      </c>
      <c r="C36" s="141" t="s">
        <v>530</v>
      </c>
      <c r="D36" s="142"/>
      <c r="E36" s="81">
        <v>-605716216</v>
      </c>
      <c r="F36" s="81">
        <v>-601470887</v>
      </c>
      <c r="G36" s="54"/>
    </row>
    <row r="37" spans="1:7">
      <c r="A37" s="58" t="s">
        <v>546</v>
      </c>
      <c r="B37" s="58" t="s">
        <v>218</v>
      </c>
      <c r="C37" s="138" t="s">
        <v>547</v>
      </c>
      <c r="D37" s="133"/>
      <c r="E37" s="80">
        <f>E30</f>
        <v>-5803085104</v>
      </c>
      <c r="F37" s="80">
        <f>F30</f>
        <v>-2078869805</v>
      </c>
      <c r="G37" s="54"/>
    </row>
    <row r="38" spans="1:7">
      <c r="A38" s="58" t="s">
        <v>548</v>
      </c>
      <c r="B38" s="58" t="s">
        <v>287</v>
      </c>
      <c r="C38" s="138" t="s">
        <v>549</v>
      </c>
      <c r="D38" s="133"/>
      <c r="E38" s="80">
        <f>SUM(E39:E45)</f>
        <v>-95804826491</v>
      </c>
      <c r="F38" s="80">
        <f>SUM(F39:F45)</f>
        <v>-3729264671</v>
      </c>
      <c r="G38" s="54"/>
    </row>
    <row r="39" spans="1:7">
      <c r="A39" s="58" t="s">
        <v>550</v>
      </c>
      <c r="B39" s="58" t="s">
        <v>291</v>
      </c>
      <c r="C39" s="139" t="s">
        <v>551</v>
      </c>
      <c r="D39" s="140"/>
      <c r="E39" s="81">
        <v>0</v>
      </c>
      <c r="F39" s="81">
        <v>0</v>
      </c>
      <c r="G39" s="54"/>
    </row>
    <row r="40" spans="1:7">
      <c r="A40" s="58" t="s">
        <v>552</v>
      </c>
      <c r="B40" s="58" t="s">
        <v>308</v>
      </c>
      <c r="C40" s="139" t="s">
        <v>553</v>
      </c>
      <c r="D40" s="140"/>
      <c r="E40" s="81">
        <v>0</v>
      </c>
      <c r="F40" s="81">
        <v>0</v>
      </c>
      <c r="G40" s="54"/>
    </row>
    <row r="41" spans="1:7">
      <c r="A41" s="58" t="s">
        <v>554</v>
      </c>
      <c r="B41" s="58" t="s">
        <v>318</v>
      </c>
      <c r="C41" s="139" t="s">
        <v>555</v>
      </c>
      <c r="D41" s="140"/>
      <c r="E41" s="81">
        <v>0</v>
      </c>
      <c r="F41" s="81">
        <v>0</v>
      </c>
      <c r="G41" s="54"/>
    </row>
    <row r="42" spans="1:7">
      <c r="A42" s="58" t="s">
        <v>556</v>
      </c>
      <c r="B42" s="58" t="s">
        <v>321</v>
      </c>
      <c r="C42" s="139" t="s">
        <v>557</v>
      </c>
      <c r="D42" s="140"/>
      <c r="E42" s="81">
        <v>0</v>
      </c>
      <c r="F42" s="81">
        <v>0</v>
      </c>
      <c r="G42" s="54"/>
    </row>
    <row r="43" spans="1:7">
      <c r="A43" s="58" t="s">
        <v>558</v>
      </c>
      <c r="B43" s="58" t="s">
        <v>559</v>
      </c>
      <c r="C43" s="139" t="s">
        <v>560</v>
      </c>
      <c r="D43" s="140"/>
      <c r="E43" s="81">
        <v>0</v>
      </c>
      <c r="F43" s="81">
        <v>0</v>
      </c>
      <c r="G43" s="54"/>
    </row>
    <row r="44" spans="1:7">
      <c r="A44" s="58" t="s">
        <v>561</v>
      </c>
      <c r="B44" s="58" t="s">
        <v>562</v>
      </c>
      <c r="C44" s="139" t="s">
        <v>563</v>
      </c>
      <c r="D44" s="140"/>
      <c r="E44" s="81">
        <v>0</v>
      </c>
      <c r="F44" s="81">
        <v>0</v>
      </c>
      <c r="G44" s="54"/>
    </row>
    <row r="45" spans="1:7">
      <c r="A45" s="58" t="s">
        <v>564</v>
      </c>
      <c r="B45" s="58" t="s">
        <v>565</v>
      </c>
      <c r="C45" s="141" t="s">
        <v>530</v>
      </c>
      <c r="D45" s="142"/>
      <c r="E45" s="81">
        <v>-95804826491</v>
      </c>
      <c r="F45" s="81">
        <v>-3729264671</v>
      </c>
      <c r="G45" s="54"/>
    </row>
    <row r="46" spans="1:7">
      <c r="A46" s="58" t="s">
        <v>566</v>
      </c>
      <c r="B46" s="58" t="s">
        <v>287</v>
      </c>
      <c r="C46" s="138" t="s">
        <v>567</v>
      </c>
      <c r="D46" s="133"/>
      <c r="E46" s="80">
        <f>E38</f>
        <v>-95804826491</v>
      </c>
      <c r="F46" s="80">
        <f>F38</f>
        <v>-3729264671</v>
      </c>
      <c r="G46" s="54"/>
    </row>
    <row r="47" spans="1:7">
      <c r="A47" s="58" t="s">
        <v>568</v>
      </c>
      <c r="B47" s="58" t="s">
        <v>325</v>
      </c>
      <c r="C47" s="138" t="s">
        <v>569</v>
      </c>
      <c r="D47" s="133"/>
      <c r="E47" s="80">
        <f>E16+E30+E38</f>
        <v>115771484161</v>
      </c>
      <c r="F47" s="80">
        <f>F16+F30+F38</f>
        <v>-136435293124</v>
      </c>
      <c r="G47" s="54"/>
    </row>
    <row r="48" spans="1:7">
      <c r="A48" s="58" t="s">
        <v>570</v>
      </c>
      <c r="B48" s="58" t="s">
        <v>450</v>
      </c>
      <c r="C48" s="138" t="s">
        <v>571</v>
      </c>
      <c r="D48" s="133"/>
      <c r="E48" s="81">
        <f>F49</f>
        <v>96483958730</v>
      </c>
      <c r="F48" s="81">
        <v>232919251854</v>
      </c>
      <c r="G48" s="54"/>
    </row>
    <row r="49" spans="1:7">
      <c r="A49" s="58" t="s">
        <v>572</v>
      </c>
      <c r="B49" s="58" t="s">
        <v>453</v>
      </c>
      <c r="C49" s="138" t="s">
        <v>573</v>
      </c>
      <c r="D49" s="133"/>
      <c r="E49" s="80">
        <f>E47+E48</f>
        <v>212255442891</v>
      </c>
      <c r="F49" s="80">
        <f>F47+F48</f>
        <v>96483958730</v>
      </c>
      <c r="G49" s="54"/>
    </row>
    <row r="50" spans="1:7">
      <c r="B50" s="58"/>
      <c r="C50" s="54"/>
      <c r="D50" s="54"/>
      <c r="E50" s="79"/>
      <c r="F50" s="79"/>
      <c r="G50" s="54"/>
    </row>
    <row r="51" spans="1:7" ht="5.0999999999999996" customHeight="1">
      <c r="B51" s="58"/>
      <c r="C51" s="54"/>
      <c r="D51" s="54"/>
      <c r="E51" s="79"/>
      <c r="F51" s="79"/>
      <c r="G51" s="54"/>
    </row>
  </sheetData>
  <sheetProtection algorithmName="SHA-512" hashValue="qJ2VrGnT4ad871zxk59DOKhpXHGrYssUXGttetE6pCqpXQSkRy/WCGDaFVKArI6umG0VKtUm7PL8OLttFxB7fA==" saltValue="r9ETSlAYp30MvRICtLVJCw==" spinCount="100000" sheet="1" formatColumns="0" formatRows="0"/>
  <mergeCells count="45">
    <mergeCell ref="C7:F7"/>
    <mergeCell ref="C9:F9"/>
    <mergeCell ref="C10:F10"/>
    <mergeCell ref="C11:F11"/>
    <mergeCell ref="C13:F13"/>
    <mergeCell ref="C14:D15"/>
    <mergeCell ref="E15"/>
    <mergeCell ref="E14:F14"/>
    <mergeCell ref="F15"/>
    <mergeCell ref="C16:D16"/>
    <mergeCell ref="C17:D17"/>
    <mergeCell ref="E17"/>
    <mergeCell ref="F17"/>
    <mergeCell ref="C19:D19"/>
    <mergeCell ref="C18:D18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7:D37"/>
    <mergeCell ref="C38:D38"/>
    <mergeCell ref="C36:D36"/>
    <mergeCell ref="C39:D39"/>
    <mergeCell ref="C49:D49"/>
    <mergeCell ref="C46:D46"/>
    <mergeCell ref="C47:D47"/>
    <mergeCell ref="C48:D48"/>
    <mergeCell ref="C40:D40"/>
    <mergeCell ref="C41:D41"/>
    <mergeCell ref="C42:D42"/>
    <mergeCell ref="C43:D43"/>
    <mergeCell ref="C44:D44"/>
    <mergeCell ref="C45:D45"/>
  </mergeCells>
  <phoneticPr fontId="8" type="noConversion"/>
  <conditionalFormatting sqref="A1:A1048576">
    <cfRule type="duplicateValues" dxfId="0" priority="1"/>
  </conditionalFormatting>
  <dataValidations count="1">
    <dataValidation type="decimal" showErrorMessage="1" errorTitle="Kesalahan Jenis Data" error="Data yang dimasukkan harus berupa Angka!" sqref="E31:F36 E17:F28 E39:F45 E48:F48" xr:uid="{00000000-0002-0000-0700-000000000000}">
      <formula1>-1000000000000000000</formula1>
      <formula2>1000000000000000000</formula2>
    </dataValidation>
  </dataValidations>
  <pageMargins left="0.7" right="0.7" top="0.75" bottom="0.75" header="0.3" footer="0.3"/>
  <customProperties>
    <customPr name="QAA_DRILLPATH_NODE_ID" r:id="rId1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>
    <tabColor theme="0"/>
  </sheetPr>
  <dimension ref="B2:Q30"/>
  <sheetViews>
    <sheetView showGridLines="0" zoomScale="85" zoomScaleNormal="85" workbookViewId="0">
      <pane xSplit="4" ySplit="15" topLeftCell="J16" activePane="bottomRight" state="frozen"/>
      <selection pane="bottomRight" sqref="A1:XFD1048576"/>
      <selection pane="bottomLeft" activeCell="A16" sqref="A16"/>
      <selection pane="topRight" activeCell="E1" sqref="E1"/>
    </sheetView>
  </sheetViews>
  <sheetFormatPr defaultColWidth="9.140625" defaultRowHeight="15.75"/>
  <cols>
    <col min="1" max="1" width="3.42578125" style="61" customWidth="1"/>
    <col min="2" max="2" width="26.5703125" style="61" hidden="1" customWidth="1"/>
    <col min="3" max="3" width="20" style="61" customWidth="1"/>
    <col min="4" max="4" width="33" style="61" customWidth="1"/>
    <col min="5" max="9" width="30" style="61" customWidth="1"/>
    <col min="10" max="10" width="41.5703125" style="61" customWidth="1"/>
    <col min="11" max="16" width="30" style="61" customWidth="1"/>
    <col min="17" max="17" width="1" style="61" customWidth="1"/>
    <col min="18" max="18" width="9.140625" style="61" customWidth="1"/>
    <col min="19" max="16384" width="9.140625" style="61"/>
  </cols>
  <sheetData>
    <row r="2" spans="2:17" ht="5.0999999999999996" customHeight="1">
      <c r="B2" s="62" t="s">
        <v>574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</row>
    <row r="3" spans="2:17" hidden="1">
      <c r="B3" s="62" t="s">
        <v>130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</row>
    <row r="4" spans="2:17" hidden="1"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</row>
    <row r="5" spans="2:17" hidden="1"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</row>
    <row r="6" spans="2:17" hidden="1"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</row>
    <row r="7" spans="2:17">
      <c r="B7" s="59"/>
      <c r="C7" s="163" t="str">
        <f>UPPER('Data Umum'!D7)</f>
        <v>PT MANDIRI MANAJEMEN INVESTASI</v>
      </c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  <c r="Q7" s="59"/>
    </row>
    <row r="8" spans="2:17"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</row>
    <row r="9" spans="2:17">
      <c r="B9" s="59"/>
      <c r="C9" s="164" t="s">
        <v>575</v>
      </c>
      <c r="D9" s="164"/>
      <c r="E9" s="164"/>
      <c r="F9" s="164"/>
      <c r="G9" s="164"/>
      <c r="H9" s="164"/>
      <c r="I9" s="164"/>
      <c r="J9" s="164"/>
      <c r="K9" s="164"/>
      <c r="L9" s="164"/>
      <c r="M9" s="164"/>
      <c r="N9" s="164"/>
      <c r="O9" s="164"/>
      <c r="P9" s="164"/>
      <c r="Q9" s="59"/>
    </row>
    <row r="10" spans="2:17">
      <c r="B10" s="59"/>
      <c r="C10" s="164" t="s">
        <v>329</v>
      </c>
      <c r="D10" s="164"/>
      <c r="E10" s="164"/>
      <c r="F10" s="164"/>
      <c r="G10" s="164"/>
      <c r="H10" s="164"/>
      <c r="I10" s="164"/>
      <c r="J10" s="164"/>
      <c r="K10" s="164"/>
      <c r="L10" s="164"/>
      <c r="M10" s="164"/>
      <c r="N10" s="164"/>
      <c r="O10" s="164"/>
      <c r="P10" s="164"/>
      <c r="Q10" s="59"/>
    </row>
    <row r="11" spans="2:17">
      <c r="B11" s="59"/>
      <c r="C11" s="164" t="str">
        <f>"Untuk Tahun yang Berakhir Pada 31 Desember "&amp;CONCATENATE(TEXT('Data Umum'!D9, "YYYY"))</f>
        <v>Untuk Tahun yang Berakhir Pada 31 Desember 2025</v>
      </c>
      <c r="D11" s="164"/>
      <c r="E11" s="164"/>
      <c r="F11" s="164"/>
      <c r="G11" s="164"/>
      <c r="H11" s="164"/>
      <c r="I11" s="164"/>
      <c r="J11" s="164"/>
      <c r="K11" s="164"/>
      <c r="L11" s="164"/>
      <c r="M11" s="164"/>
      <c r="N11" s="164"/>
      <c r="O11" s="164"/>
      <c r="P11" s="164"/>
      <c r="Q11" s="59"/>
    </row>
    <row r="12" spans="2:17" hidden="1"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</row>
    <row r="13" spans="2:17">
      <c r="B13" s="59"/>
      <c r="C13" s="165"/>
      <c r="D13" s="166"/>
      <c r="E13" s="166"/>
      <c r="F13" s="166"/>
      <c r="G13" s="166"/>
      <c r="H13" s="166"/>
      <c r="I13" s="166"/>
      <c r="J13" s="166"/>
      <c r="K13" s="166"/>
      <c r="L13" s="166"/>
      <c r="M13" s="166"/>
      <c r="N13" s="166"/>
      <c r="O13" s="166"/>
      <c r="P13" s="166"/>
      <c r="Q13" s="59"/>
    </row>
    <row r="14" spans="2:17">
      <c r="B14" s="59"/>
      <c r="C14" s="161" t="s">
        <v>132</v>
      </c>
      <c r="D14" s="154"/>
      <c r="E14" s="160" t="str">
        <f>""</f>
        <v/>
      </c>
      <c r="F14" s="161" t="str">
        <f>"Saldo Laba*)"</f>
        <v>Saldo Laba*)</v>
      </c>
      <c r="G14" s="154"/>
      <c r="H14" s="161" t="str">
        <f>""</f>
        <v/>
      </c>
      <c r="I14" s="162"/>
      <c r="J14" s="154"/>
      <c r="K14" s="161" t="str">
        <f>"Penghasilan Komprehensif Lain"</f>
        <v>Penghasilan Komprehensif Lain</v>
      </c>
      <c r="L14" s="162"/>
      <c r="M14" s="154"/>
      <c r="N14" s="161" t="str">
        <f>""</f>
        <v/>
      </c>
      <c r="O14" s="162"/>
      <c r="P14" s="154"/>
      <c r="Q14" s="59"/>
    </row>
    <row r="15" spans="2:17">
      <c r="B15" s="59" t="s">
        <v>134</v>
      </c>
      <c r="C15" s="167"/>
      <c r="D15" s="168"/>
      <c r="E15" s="160" t="str">
        <f>"Modal Saham"</f>
        <v>Modal Saham</v>
      </c>
      <c r="F15" s="160" t="str">
        <f>"Yang Telah Ditentukan Penggunaannya"</f>
        <v>Yang Telah Ditentukan Penggunaannya</v>
      </c>
      <c r="G15" s="160" t="str">
        <f>"Yang Belum Ditentukan Penggunaannya"</f>
        <v>Yang Belum Ditentukan Penggunaannya</v>
      </c>
      <c r="H15" s="160" t="str">
        <f>"Tambahan Modal Disetor"</f>
        <v>Tambahan Modal Disetor</v>
      </c>
      <c r="I15" s="160" t="str">
        <f>"Selisih Transaksi Pihak Nonpengendali"</f>
        <v>Selisih Transaksi Pihak Nonpengendali</v>
      </c>
      <c r="J15" s="160" t="str">
        <f>"Saham Treasuri"</f>
        <v>Saham Treasuri</v>
      </c>
      <c r="K15" s="160" t="str">
        <f>"Yang tidak akan direklasifikasi lebih lanjut ke laba rugi"</f>
        <v>Yang tidak akan direklasifikasi lebih lanjut ke laba rugi</v>
      </c>
      <c r="L15" s="160" t="str">
        <f>"Yang akan direklasifikasi lebih lanjut ke laba rugi"</f>
        <v>Yang akan direklasifikasi lebih lanjut ke laba rugi</v>
      </c>
      <c r="M15" s="160" t="str">
        <f>"Total"</f>
        <v>Total</v>
      </c>
      <c r="N15" s="160" t="str">
        <f>"Total"</f>
        <v>Total</v>
      </c>
      <c r="O15" s="160" t="str">
        <f>"Kepentingan Nonpengendali"</f>
        <v>Kepentingan Nonpengendali</v>
      </c>
      <c r="P15" s="160" t="str">
        <f>"Total Ekuitas"</f>
        <v>Total Ekuitas</v>
      </c>
      <c r="Q15" s="59"/>
    </row>
    <row r="16" spans="2:17">
      <c r="B16" s="59" t="s">
        <v>576</v>
      </c>
      <c r="C16" s="153" t="s">
        <v>577</v>
      </c>
      <c r="D16" s="154"/>
      <c r="E16" s="66">
        <v>60000000000</v>
      </c>
      <c r="F16" s="66">
        <v>12000000000</v>
      </c>
      <c r="G16" s="66">
        <v>296348587861</v>
      </c>
      <c r="H16" s="66">
        <v>0</v>
      </c>
      <c r="I16" s="66">
        <v>0</v>
      </c>
      <c r="J16" s="66">
        <v>0</v>
      </c>
      <c r="K16" s="66">
        <v>0</v>
      </c>
      <c r="L16" s="66">
        <v>0</v>
      </c>
      <c r="M16" s="60">
        <f>K16+L16</f>
        <v>0</v>
      </c>
      <c r="N16" s="60">
        <f>E16+F16+G16+H16+I16+J16+M16</f>
        <v>368348587861</v>
      </c>
      <c r="O16" s="157">
        <v>-10147059</v>
      </c>
      <c r="P16" s="60"/>
      <c r="Q16" s="59"/>
    </row>
    <row r="17" spans="2:17">
      <c r="B17" s="59" t="s">
        <v>578</v>
      </c>
      <c r="C17" s="153" t="s">
        <v>579</v>
      </c>
      <c r="D17" s="154"/>
      <c r="E17" s="66">
        <v>0</v>
      </c>
      <c r="F17" s="66">
        <v>0</v>
      </c>
      <c r="G17" s="66">
        <v>0</v>
      </c>
      <c r="H17" s="66">
        <v>0</v>
      </c>
      <c r="I17" s="66">
        <v>0</v>
      </c>
      <c r="J17" s="66">
        <v>0</v>
      </c>
      <c r="K17" s="66">
        <v>0</v>
      </c>
      <c r="L17" s="66">
        <v>0</v>
      </c>
      <c r="M17" s="60">
        <f>K17+L17</f>
        <v>0</v>
      </c>
      <c r="N17" s="60">
        <f>E17+F17+G17+H17+I17+J17+M17</f>
        <v>0</v>
      </c>
      <c r="O17" s="157">
        <v>0</v>
      </c>
      <c r="P17" s="60"/>
      <c r="Q17" s="59"/>
    </row>
    <row r="18" spans="2:17">
      <c r="B18" s="59" t="s">
        <v>580</v>
      </c>
      <c r="C18" s="153" t="s">
        <v>581</v>
      </c>
      <c r="D18" s="154"/>
      <c r="E18" s="60">
        <f>SUM(E16:E17)</f>
        <v>60000000000</v>
      </c>
      <c r="F18" s="60">
        <f t="shared" ref="F18:O18" si="0">SUM(F16:F17)</f>
        <v>12000000000</v>
      </c>
      <c r="G18" s="60">
        <f t="shared" si="0"/>
        <v>296348587861</v>
      </c>
      <c r="H18" s="60">
        <f t="shared" si="0"/>
        <v>0</v>
      </c>
      <c r="I18" s="60">
        <f t="shared" si="0"/>
        <v>0</v>
      </c>
      <c r="J18" s="60">
        <f t="shared" si="0"/>
        <v>0</v>
      </c>
      <c r="K18" s="60">
        <f t="shared" si="0"/>
        <v>0</v>
      </c>
      <c r="L18" s="60">
        <f t="shared" si="0"/>
        <v>0</v>
      </c>
      <c r="M18" s="60">
        <f t="shared" si="0"/>
        <v>0</v>
      </c>
      <c r="N18" s="60">
        <f t="shared" si="0"/>
        <v>368348587861</v>
      </c>
      <c r="O18" s="60">
        <f t="shared" si="0"/>
        <v>-10147059</v>
      </c>
      <c r="P18" s="60">
        <f>N18+O18</f>
        <v>368338440802</v>
      </c>
      <c r="Q18" s="59"/>
    </row>
    <row r="19" spans="2:17">
      <c r="B19" s="63" t="s">
        <v>213</v>
      </c>
      <c r="C19" s="158" t="s">
        <v>582</v>
      </c>
      <c r="D19" s="159"/>
      <c r="E19" s="64" t="str">
        <f>""</f>
        <v/>
      </c>
      <c r="F19" s="64" t="str">
        <f>""</f>
        <v/>
      </c>
      <c r="G19" s="64" t="str">
        <f>""</f>
        <v/>
      </c>
      <c r="H19" s="64" t="str">
        <f>""</f>
        <v/>
      </c>
      <c r="I19" s="64" t="str">
        <f>""</f>
        <v/>
      </c>
      <c r="J19" s="64" t="str">
        <f>""</f>
        <v/>
      </c>
      <c r="K19" s="64" t="str">
        <f>""</f>
        <v/>
      </c>
      <c r="L19" s="64" t="str">
        <f>""</f>
        <v/>
      </c>
      <c r="M19" s="64" t="str">
        <f>""</f>
        <v/>
      </c>
      <c r="N19" s="64" t="str">
        <f>""</f>
        <v/>
      </c>
      <c r="O19" s="64" t="str">
        <f>""</f>
        <v/>
      </c>
      <c r="P19" s="64" t="str">
        <f>""</f>
        <v/>
      </c>
      <c r="Q19" s="59"/>
    </row>
    <row r="20" spans="2:17">
      <c r="B20" s="59" t="s">
        <v>583</v>
      </c>
      <c r="C20" s="155" t="s">
        <v>584</v>
      </c>
      <c r="D20" s="156"/>
      <c r="E20" s="66">
        <v>0</v>
      </c>
      <c r="F20" s="66">
        <v>0</v>
      </c>
      <c r="G20" s="66">
        <v>15417748399</v>
      </c>
      <c r="H20" s="66">
        <v>0</v>
      </c>
      <c r="I20" s="66">
        <v>0</v>
      </c>
      <c r="J20" s="66">
        <v>0</v>
      </c>
      <c r="K20" s="66">
        <v>0</v>
      </c>
      <c r="L20" s="66">
        <v>0</v>
      </c>
      <c r="M20" s="60">
        <f>K20+L20</f>
        <v>0</v>
      </c>
      <c r="N20" s="60">
        <f>E20+F20+G20+H20+I20+J20+M20</f>
        <v>15417748399</v>
      </c>
      <c r="O20" s="157">
        <v>10798066</v>
      </c>
      <c r="P20" s="60"/>
      <c r="Q20" s="59"/>
    </row>
    <row r="21" spans="2:17">
      <c r="B21" s="59" t="s">
        <v>585</v>
      </c>
      <c r="C21" s="155" t="s">
        <v>586</v>
      </c>
      <c r="D21" s="156"/>
      <c r="E21" s="66">
        <v>0</v>
      </c>
      <c r="F21" s="66">
        <v>0</v>
      </c>
      <c r="G21" s="66">
        <f>-(0.9993*0)-0</f>
        <v>0</v>
      </c>
      <c r="H21" s="66">
        <v>0</v>
      </c>
      <c r="I21" s="66">
        <v>0</v>
      </c>
      <c r="J21" s="66">
        <v>0</v>
      </c>
      <c r="K21" s="66">
        <v>0</v>
      </c>
      <c r="L21" s="66">
        <v>0</v>
      </c>
      <c r="M21" s="60">
        <f>K21+L21</f>
        <v>0</v>
      </c>
      <c r="N21" s="60">
        <f>E21+F21+G21+H21+I21+J21+M21</f>
        <v>0</v>
      </c>
      <c r="O21" s="157">
        <v>0</v>
      </c>
      <c r="P21" s="60"/>
      <c r="Q21" s="59"/>
    </row>
    <row r="22" spans="2:17">
      <c r="B22" s="59" t="s">
        <v>587</v>
      </c>
      <c r="C22" s="155" t="s">
        <v>310</v>
      </c>
      <c r="D22" s="156"/>
      <c r="E22" s="66">
        <v>0</v>
      </c>
      <c r="F22" s="66">
        <v>0</v>
      </c>
      <c r="G22" s="66">
        <v>-162855381</v>
      </c>
      <c r="H22" s="66">
        <v>0</v>
      </c>
      <c r="I22" s="66">
        <v>0</v>
      </c>
      <c r="J22" s="66">
        <v>0</v>
      </c>
      <c r="K22" s="66">
        <v>0</v>
      </c>
      <c r="L22" s="66">
        <v>0</v>
      </c>
      <c r="M22" s="60">
        <f>K22+L22</f>
        <v>0</v>
      </c>
      <c r="N22" s="60">
        <f>E22+F22+G22+H22+I22+J22+M22</f>
        <v>-162855381</v>
      </c>
      <c r="O22" s="157">
        <f>-114079-589</f>
        <v>-114668</v>
      </c>
      <c r="P22" s="60"/>
      <c r="Q22" s="59"/>
    </row>
    <row r="23" spans="2:17">
      <c r="B23" s="59" t="s">
        <v>588</v>
      </c>
      <c r="C23" s="153" t="s">
        <v>589</v>
      </c>
      <c r="D23" s="154"/>
      <c r="E23" s="60">
        <f>E18+E20+E21+E22</f>
        <v>60000000000</v>
      </c>
      <c r="F23" s="60">
        <f>F18+F20+F21+F22</f>
        <v>12000000000</v>
      </c>
      <c r="G23" s="60">
        <f t="shared" ref="G23:O23" si="1">G18+G20+G21+G22</f>
        <v>311603480879</v>
      </c>
      <c r="H23" s="60">
        <f t="shared" si="1"/>
        <v>0</v>
      </c>
      <c r="I23" s="60">
        <f t="shared" si="1"/>
        <v>0</v>
      </c>
      <c r="J23" s="60">
        <f t="shared" si="1"/>
        <v>0</v>
      </c>
      <c r="K23" s="60">
        <f t="shared" si="1"/>
        <v>0</v>
      </c>
      <c r="L23" s="60">
        <f>L18+L20+L21+L22</f>
        <v>0</v>
      </c>
      <c r="M23" s="60">
        <f t="shared" si="1"/>
        <v>0</v>
      </c>
      <c r="N23" s="60">
        <f t="shared" si="1"/>
        <v>383603480879</v>
      </c>
      <c r="O23" s="60">
        <f t="shared" si="1"/>
        <v>536339</v>
      </c>
      <c r="P23" s="60">
        <f>N23+O23</f>
        <v>383604017218</v>
      </c>
      <c r="Q23" s="59"/>
    </row>
    <row r="24" spans="2:17">
      <c r="B24" s="63" t="s">
        <v>136</v>
      </c>
      <c r="C24" s="158" t="s">
        <v>590</v>
      </c>
      <c r="D24" s="159"/>
      <c r="E24" s="64" t="str">
        <f>""</f>
        <v/>
      </c>
      <c r="F24" s="64" t="str">
        <f>""</f>
        <v/>
      </c>
      <c r="G24" s="64" t="str">
        <f>""</f>
        <v/>
      </c>
      <c r="H24" s="64" t="str">
        <f>""</f>
        <v/>
      </c>
      <c r="I24" s="64" t="str">
        <f>""</f>
        <v/>
      </c>
      <c r="J24" s="64" t="str">
        <f>""</f>
        <v/>
      </c>
      <c r="K24" s="64" t="str">
        <f>""</f>
        <v/>
      </c>
      <c r="L24" s="64" t="str">
        <f>""</f>
        <v/>
      </c>
      <c r="M24" s="64" t="str">
        <f>""</f>
        <v/>
      </c>
      <c r="N24" s="64" t="str">
        <f>""</f>
        <v/>
      </c>
      <c r="O24" s="64" t="str">
        <f>""</f>
        <v/>
      </c>
      <c r="P24" s="64" t="str">
        <f>""</f>
        <v/>
      </c>
      <c r="Q24" s="59"/>
    </row>
    <row r="25" spans="2:17">
      <c r="B25" s="59" t="s">
        <v>591</v>
      </c>
      <c r="C25" s="155" t="s">
        <v>584</v>
      </c>
      <c r="D25" s="156"/>
      <c r="E25" s="66">
        <v>0</v>
      </c>
      <c r="F25" s="66">
        <v>0</v>
      </c>
      <c r="G25" s="66">
        <f>0.9993*27272607370</f>
        <v>27253516544.841</v>
      </c>
      <c r="H25" s="66">
        <v>0</v>
      </c>
      <c r="I25" s="66">
        <v>0</v>
      </c>
      <c r="J25" s="66">
        <v>0</v>
      </c>
      <c r="K25" s="66">
        <v>0</v>
      </c>
      <c r="L25" s="71">
        <v>0</v>
      </c>
      <c r="M25" s="60">
        <f>K25+L25</f>
        <v>0</v>
      </c>
      <c r="N25" s="60">
        <f>E25+F25+G25+H25+I25+J25+M25</f>
        <v>27253516544.841</v>
      </c>
      <c r="O25" s="157">
        <f>0.0007*27272607370</f>
        <v>19090825.158999998</v>
      </c>
      <c r="P25" s="60"/>
      <c r="Q25" s="59"/>
    </row>
    <row r="26" spans="2:17">
      <c r="B26" s="59" t="s">
        <v>592</v>
      </c>
      <c r="C26" s="155" t="s">
        <v>586</v>
      </c>
      <c r="D26" s="156"/>
      <c r="E26" s="66">
        <v>0</v>
      </c>
      <c r="F26" s="66">
        <v>0</v>
      </c>
      <c r="G26" s="66">
        <v>-90000000000</v>
      </c>
      <c r="H26" s="66">
        <v>0</v>
      </c>
      <c r="I26" s="66">
        <v>0</v>
      </c>
      <c r="J26" s="66">
        <v>0</v>
      </c>
      <c r="K26" s="66">
        <v>0</v>
      </c>
      <c r="L26" s="66">
        <v>0</v>
      </c>
      <c r="M26" s="60">
        <f>K26+L26</f>
        <v>0</v>
      </c>
      <c r="N26" s="60">
        <f>E26+F26+G26+H26+I26+J26+M26</f>
        <v>-90000000000</v>
      </c>
      <c r="O26" s="157">
        <f>-(0.0007*0)+0</f>
        <v>0</v>
      </c>
      <c r="P26" s="60"/>
      <c r="Q26" s="59"/>
    </row>
    <row r="27" spans="2:17">
      <c r="B27" s="59" t="s">
        <v>593</v>
      </c>
      <c r="C27" s="155" t="s">
        <v>310</v>
      </c>
      <c r="D27" s="156"/>
      <c r="E27" s="66">
        <v>0</v>
      </c>
      <c r="F27" s="66">
        <v>0</v>
      </c>
      <c r="G27" s="66">
        <f>0.9993*-755994000</f>
        <v>-755464804.19999993</v>
      </c>
      <c r="H27" s="66">
        <v>0</v>
      </c>
      <c r="I27" s="66">
        <v>0</v>
      </c>
      <c r="J27" s="66">
        <v>0</v>
      </c>
      <c r="K27" s="66">
        <v>0</v>
      </c>
      <c r="L27" s="66">
        <v>0</v>
      </c>
      <c r="M27" s="60">
        <f>K27+L27</f>
        <v>0</v>
      </c>
      <c r="N27" s="60">
        <f>E27+F27+G27+H27+I27+J27+M27</f>
        <v>-755464804.19999993</v>
      </c>
      <c r="O27" s="157">
        <f>-530245+567</f>
        <v>-529678</v>
      </c>
      <c r="P27" s="60"/>
      <c r="Q27" s="59"/>
    </row>
    <row r="28" spans="2:17">
      <c r="B28" s="59" t="s">
        <v>204</v>
      </c>
      <c r="C28" s="153" t="s">
        <v>594</v>
      </c>
      <c r="D28" s="154"/>
      <c r="E28" s="60">
        <f>E23+E25+E26+E27</f>
        <v>60000000000</v>
      </c>
      <c r="F28" s="60">
        <f t="shared" ref="F28:O28" si="2">F23+F25+F26+F27</f>
        <v>12000000000</v>
      </c>
      <c r="G28" s="60">
        <f t="shared" si="2"/>
        <v>248101532619.64099</v>
      </c>
      <c r="H28" s="60">
        <f t="shared" si="2"/>
        <v>0</v>
      </c>
      <c r="I28" s="60">
        <f t="shared" si="2"/>
        <v>0</v>
      </c>
      <c r="J28" s="60">
        <f t="shared" si="2"/>
        <v>0</v>
      </c>
      <c r="K28" s="60">
        <f t="shared" si="2"/>
        <v>0</v>
      </c>
      <c r="L28" s="60">
        <f t="shared" si="2"/>
        <v>0</v>
      </c>
      <c r="M28" s="60">
        <f t="shared" si="2"/>
        <v>0</v>
      </c>
      <c r="N28" s="60">
        <f t="shared" si="2"/>
        <v>320101532619.64099</v>
      </c>
      <c r="O28" s="60">
        <f t="shared" si="2"/>
        <v>19097486.158999998</v>
      </c>
      <c r="P28" s="60">
        <f>N28+O28</f>
        <v>320120630105.79999</v>
      </c>
      <c r="Q28" s="59"/>
    </row>
    <row r="29" spans="2:17"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</row>
    <row r="30" spans="2:17" ht="5.0999999999999996" customHeight="1"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</row>
  </sheetData>
  <sheetProtection algorithmName="SHA-512" hashValue="CQRtsx7MD2enCDqvjQwBm1uN28LV3qYnHqEqN/GmNDs9BYWNnhyvQQNyd4l10gg6TcukaYPQEVZb/9xMlh1uUg==" saltValue="JLKL4uD1x+J7A13cwVjhlg==" spinCount="100000" sheet="1" formatColumns="0" formatRows="0"/>
  <mergeCells count="44">
    <mergeCell ref="C14:D15"/>
    <mergeCell ref="E15"/>
    <mergeCell ref="E14"/>
    <mergeCell ref="F15"/>
    <mergeCell ref="G15"/>
    <mergeCell ref="F14:G14"/>
    <mergeCell ref="C7:P7"/>
    <mergeCell ref="C9:P9"/>
    <mergeCell ref="C10:P10"/>
    <mergeCell ref="C11:P11"/>
    <mergeCell ref="C13:P13"/>
    <mergeCell ref="L15"/>
    <mergeCell ref="M15"/>
    <mergeCell ref="K14:M14"/>
    <mergeCell ref="N15"/>
    <mergeCell ref="O15"/>
    <mergeCell ref="N14:P14"/>
    <mergeCell ref="P15"/>
    <mergeCell ref="H15"/>
    <mergeCell ref="I15"/>
    <mergeCell ref="J15"/>
    <mergeCell ref="H14:J14"/>
    <mergeCell ref="K15"/>
    <mergeCell ref="C17:D17"/>
    <mergeCell ref="O17"/>
    <mergeCell ref="O16"/>
    <mergeCell ref="C16:D16"/>
    <mergeCell ref="O20"/>
    <mergeCell ref="C21:D21"/>
    <mergeCell ref="O21"/>
    <mergeCell ref="C23:D23"/>
    <mergeCell ref="C18:D18"/>
    <mergeCell ref="C19:D19"/>
    <mergeCell ref="C20:D20"/>
    <mergeCell ref="C24:D24"/>
    <mergeCell ref="C25:D25"/>
    <mergeCell ref="O25"/>
    <mergeCell ref="O22"/>
    <mergeCell ref="C22:D22"/>
    <mergeCell ref="C28:D28"/>
    <mergeCell ref="C27:D27"/>
    <mergeCell ref="O27"/>
    <mergeCell ref="O26"/>
    <mergeCell ref="C26:D26"/>
  </mergeCells>
  <dataValidations count="1">
    <dataValidation type="decimal" showErrorMessage="1" errorTitle="Kesalahan Jenis Data" error="Data yang dimasukkan harus berupa Angka!" sqref="O25:P27 O16:P17 E36 P21:P22 O20:O22 E20:L22 E25:L27 E16:L17" xr:uid="{00000000-0002-0000-0800-000000000000}">
      <formula1>-1000000000000000000</formula1>
      <formula2>1000000000000000000</formula2>
    </dataValidation>
  </dataValidations>
  <pageMargins left="0.7" right="0.7" top="0.75" bottom="0.75" header="0.3" footer="0.3"/>
  <customProperties>
    <customPr name="QAA_DRILLPATH_NODE_ID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arif aa</dc:creator>
  <cp:keywords/>
  <dc:description/>
  <cp:lastModifiedBy>Guest User</cp:lastModifiedBy>
  <cp:revision/>
  <dcterms:created xsi:type="dcterms:W3CDTF">2023-06-15T07:46:37Z</dcterms:created>
  <dcterms:modified xsi:type="dcterms:W3CDTF">2026-08-04T06:18:51Z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4a3290e-e83a-4d5c-b82d-6e2d3a797021_Enabled">
    <vt:lpwstr>true</vt:lpwstr>
  </property>
  <property fmtid="{D5CDD505-2E9C-101B-9397-08002B2CF9AE}" pid="3" name="MSIP_Label_14a3290e-e83a-4d5c-b82d-6e2d3a797021_SetDate">
    <vt:lpwstr>2026-03-13T07:17:39Z</vt:lpwstr>
  </property>
  <property fmtid="{D5CDD505-2E9C-101B-9397-08002B2CF9AE}" pid="4" name="MSIP_Label_14a3290e-e83a-4d5c-b82d-6e2d3a797021_Method">
    <vt:lpwstr>Privileged</vt:lpwstr>
  </property>
  <property fmtid="{D5CDD505-2E9C-101B-9397-08002B2CF9AE}" pid="5" name="MSIP_Label_14a3290e-e83a-4d5c-b82d-6e2d3a797021_Name">
    <vt:lpwstr>Internal</vt:lpwstr>
  </property>
  <property fmtid="{D5CDD505-2E9C-101B-9397-08002B2CF9AE}" pid="6" name="MSIP_Label_14a3290e-e83a-4d5c-b82d-6e2d3a797021_SiteId">
    <vt:lpwstr>3fc9f035-cf08-4d85-9c28-291d47e5d877</vt:lpwstr>
  </property>
  <property fmtid="{D5CDD505-2E9C-101B-9397-08002B2CF9AE}" pid="7" name="MSIP_Label_14a3290e-e83a-4d5c-b82d-6e2d3a797021_ActionId">
    <vt:lpwstr>e0a19c50-3c10-40af-bc0f-44494286b49b</vt:lpwstr>
  </property>
  <property fmtid="{D5CDD505-2E9C-101B-9397-08002B2CF9AE}" pid="8" name="MSIP_Label_14a3290e-e83a-4d5c-b82d-6e2d3a797021_ContentBits">
    <vt:lpwstr>0</vt:lpwstr>
  </property>
  <property fmtid="{D5CDD505-2E9C-101B-9397-08002B2CF9AE}" pid="9" name="MSIP_Label_14a3290e-e83a-4d5c-b82d-6e2d3a797021_Tag">
    <vt:lpwstr>10, 0, 1, 1</vt:lpwstr>
  </property>
</Properties>
</file>