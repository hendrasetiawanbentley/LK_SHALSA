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D:\Mirza\Audit 2025\0. Tahunan\6. Aria OJK\BNP\"/>
    </mc:Choice>
  </mc:AlternateContent>
  <xr:revisionPtr revIDLastSave="0" documentId="13_ncr:1_{8338DD91-C690-4332-ADA5-8F9033E960E5}" xr6:coauthVersionLast="47" xr6:coauthVersionMax="47" xr10:uidLastSave="{00000000-0000-0000-0000-000000000000}"/>
  <bookViews>
    <workbookView xWindow="-108" yWindow="-108" windowWidth="23256" windowHeight="12456" firstSheet="2" activeTab="2" xr2:uid="{00000000-000D-0000-FFFF-FFFF00000000}"/>
  </bookViews>
  <sheets>
    <sheet name="Informasi" sheetId="1" r:id="rId1"/>
    <sheet name="Validasi" sheetId="8" r:id="rId2"/>
    <sheet name="Data Umum" sheetId="2" r:id="rId3"/>
    <sheet name="Laporan Posisi Keuangan" sheetId="7" r:id="rId4"/>
    <sheet name="Laporan Laba Rugi" sheetId="4" r:id="rId5"/>
    <sheet name="Laporan Perubahan Aset Bersih" sheetId="5" r:id="rId6"/>
    <sheet name="Laporan Arus Ka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 l="1"/>
  <c r="C20" i="5"/>
  <c r="B20" i="5"/>
  <c r="C27" i="7" l="1"/>
  <c r="B27" i="7"/>
  <c r="A4" i="7"/>
  <c r="C35" i="7"/>
  <c r="B35" i="7"/>
  <c r="C20" i="6"/>
  <c r="B20" i="6"/>
  <c r="A4" i="6"/>
  <c r="C26" i="6"/>
  <c r="B26" i="6"/>
  <c r="A4" i="5"/>
  <c r="C15" i="5"/>
  <c r="B15" i="5"/>
  <c r="A4" i="4"/>
  <c r="C22" i="4"/>
  <c r="B22" i="4"/>
  <c r="C17" i="4"/>
  <c r="B17" i="4"/>
  <c r="C12" i="4"/>
  <c r="B12" i="4"/>
  <c r="C8" i="2"/>
  <c r="C8" i="5" s="1"/>
  <c r="C7" i="2"/>
  <c r="C8" i="7" l="1"/>
  <c r="B21" i="5"/>
  <c r="B23" i="5" s="1"/>
  <c r="C21" i="5"/>
  <c r="C23" i="5" s="1"/>
  <c r="C27" i="6"/>
  <c r="C29" i="6" s="1"/>
  <c r="C31" i="6" s="1"/>
  <c r="C18" i="4"/>
  <c r="C23" i="4" s="1"/>
  <c r="C25" i="4" s="1"/>
  <c r="C27" i="4" s="1"/>
  <c r="D7" i="8" s="1"/>
  <c r="B8" i="6"/>
  <c r="C8" i="6"/>
  <c r="A5" i="7"/>
  <c r="B8" i="7"/>
  <c r="B36" i="7"/>
  <c r="B38" i="7" s="1"/>
  <c r="C36" i="7"/>
  <c r="C38" i="7" s="1"/>
  <c r="B18" i="4"/>
  <c r="B23" i="4" s="1"/>
  <c r="B25" i="4" s="1"/>
  <c r="B27" i="4" s="1"/>
  <c r="D6" i="8" s="1"/>
  <c r="A5" i="4"/>
  <c r="B8" i="4"/>
  <c r="A5" i="5"/>
  <c r="A5" i="6"/>
  <c r="C8" i="4"/>
  <c r="B8" i="5"/>
  <c r="B27" i="6"/>
  <c r="B29" i="6" s="1"/>
  <c r="B31" i="6" s="1"/>
  <c r="C33" i="6" l="1"/>
  <c r="D9" i="8" s="1"/>
  <c r="B33" i="6"/>
  <c r="D8" i="8" s="1"/>
  <c r="D5" i="8"/>
  <c r="D4" i="8"/>
  <c r="D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Dwi Isnaini</author>
  </authors>
  <commentList>
    <comment ref="C3" authorId="0" shapeId="0" xr:uid="{00000000-0006-0000-0200-000001000000}">
      <text>
        <r>
          <rPr>
            <b/>
            <sz val="9"/>
            <color indexed="81"/>
            <rFont val="Tahoma"/>
            <family val="2"/>
          </rPr>
          <t>Format DD-MMM-YYYY</t>
        </r>
        <r>
          <rPr>
            <sz val="9"/>
            <color indexed="81"/>
            <rFont val="Tahoma"/>
            <family val="2"/>
          </rPr>
          <t xml:space="preserve">
</t>
        </r>
      </text>
    </comment>
    <comment ref="C6" authorId="0" shapeId="0" xr:uid="{13712133-F6DB-481D-B108-D39095AB5F7E}">
      <text>
        <r>
          <rPr>
            <b/>
            <sz val="9"/>
            <color indexed="81"/>
            <rFont val="Tahoma"/>
            <family val="2"/>
          </rPr>
          <t>Format DD-MMM-YYYY</t>
        </r>
        <r>
          <rPr>
            <sz val="9"/>
            <color indexed="81"/>
            <rFont val="Tahoma"/>
            <family val="2"/>
          </rPr>
          <t xml:space="preserve">
</t>
        </r>
      </text>
    </comment>
  </commentList>
</comments>
</file>

<file path=xl/sharedStrings.xml><?xml version="1.0" encoding="utf-8"?>
<sst xmlns="http://schemas.openxmlformats.org/spreadsheetml/2006/main" count="155" uniqueCount="139">
  <si>
    <t>Petunjuk pengisian template Laporan Keuangan Reksa Dana</t>
  </si>
  <si>
    <r>
      <t xml:space="preserve">Isi data umum perusahaan, data audit dan informasi tambahan atas Laporan Keuangan pada sheet </t>
    </r>
    <r>
      <rPr>
        <b/>
        <sz val="11"/>
        <color theme="1"/>
        <rFont val="Calibri"/>
        <family val="2"/>
        <scheme val="minor"/>
      </rPr>
      <t>Data Umum</t>
    </r>
  </si>
  <si>
    <r>
      <t xml:space="preserve">Isi informasi terkait aset, kewajiban, dan modal kerja perusahaan pada sheet </t>
    </r>
    <r>
      <rPr>
        <b/>
        <sz val="11"/>
        <color theme="1"/>
        <rFont val="Calibri"/>
        <family val="2"/>
        <scheme val="minor"/>
      </rPr>
      <t>Laporan Posisi Keuangan</t>
    </r>
  </si>
  <si>
    <r>
      <t xml:space="preserve">Jika perusahaan memiliki akun tertentu yang tidak terdapat pada pilihan di </t>
    </r>
    <r>
      <rPr>
        <b/>
        <sz val="11"/>
        <color theme="1"/>
        <rFont val="Calibri"/>
        <family val="2"/>
        <scheme val="minor"/>
      </rPr>
      <t>Laporan Posisi Keuangan</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</si>
  <si>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pendapatan dan beban pada sheet </t>
    </r>
    <r>
      <rPr>
        <b/>
        <sz val="11"/>
        <color theme="1"/>
        <rFont val="Calibri"/>
        <family val="2"/>
        <scheme val="minor"/>
      </rPr>
      <t>Laporan Laba Rugi</t>
    </r>
  </si>
  <si>
    <t>Akun beban diisi dengan angka positif (tidak menambahkan tanda "-")</t>
  </si>
  <si>
    <r>
      <t xml:space="preserve">Jika perusahaan memiliki akun tertentu yang tidak terdapat pada pilihan di </t>
    </r>
    <r>
      <rPr>
        <b/>
        <sz val="11"/>
        <color theme="1"/>
        <rFont val="Calibri"/>
        <family val="2"/>
        <scheme val="minor"/>
      </rPr>
      <t>Laporan Laba Rugi</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</si>
  <si>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perubahan aset bersih pada sheet </t>
    </r>
    <r>
      <rPr>
        <b/>
        <sz val="11"/>
        <color theme="1"/>
        <rFont val="Calibri"/>
        <family val="2"/>
        <scheme val="minor"/>
      </rPr>
      <t>Laporan Perubahan Aset Bersih</t>
    </r>
  </si>
  <si>
    <r>
      <t xml:space="preserve">Isi informasi terkait perubahan ekuitas pada sheet </t>
    </r>
    <r>
      <rPr>
        <b/>
        <sz val="11"/>
        <color theme="1"/>
        <rFont val="Calibri"/>
        <family val="2"/>
        <scheme val="minor"/>
      </rPr>
      <t>Laporan Arus Kas</t>
    </r>
  </si>
  <si>
    <r>
      <t xml:space="preserve">Cek status validasi laporan pada sheet </t>
    </r>
    <r>
      <rPr>
        <b/>
        <sz val="11"/>
        <color theme="1"/>
        <rFont val="Calibri"/>
        <family val="2"/>
        <scheme val="minor"/>
      </rPr>
      <t>Validasi</t>
    </r>
  </si>
  <si>
    <r>
      <t xml:space="preserve">Laporan yang dikirimkan ke Otoritas Jasa Keuangan adalah laporan dengan validasi </t>
    </r>
    <r>
      <rPr>
        <b/>
        <sz val="11"/>
        <color theme="1"/>
        <rFont val="Calibri"/>
        <family val="2"/>
        <scheme val="minor"/>
      </rPr>
      <t>OK</t>
    </r>
  </si>
  <si>
    <r>
      <t xml:space="preserve">Pengiriman Laporan Keuangan Elektronik disertai dengan pengiriman </t>
    </r>
    <r>
      <rPr>
        <i/>
        <sz val="11"/>
        <color theme="1"/>
        <rFont val="Calibri"/>
        <family val="2"/>
        <scheme val="minor"/>
      </rPr>
      <t>hardcopy</t>
    </r>
    <r>
      <rPr>
        <sz val="11"/>
        <color theme="1"/>
        <rFont val="Calibri"/>
        <family val="2"/>
        <scheme val="minor"/>
      </rPr>
      <t xml:space="preserve"> Laporan Keuangan ke Otoritas Jasa Keuangan</t>
    </r>
  </si>
  <si>
    <t>Status Validasi Laporan secara Keseluruhan</t>
  </si>
  <si>
    <t>No</t>
  </si>
  <si>
    <t>Keterangan</t>
  </si>
  <si>
    <t>Formula</t>
  </si>
  <si>
    <t>Status</t>
  </si>
  <si>
    <t>Aset bersih yang dapat diatribusikan kepada pemegang unit penyertaan pada Laporan Posisi Keuangan harus sama dengan Aset bersih yang dapat diatribusikan kepada pemegang unit penyertaan pada akhir periode pada Laporan Perubahan Aset Bersih</t>
  </si>
  <si>
    <t>Laporan Posisi Keuangan'!B35='Laporan Perubahan Aset Bersih'!B21</t>
  </si>
  <si>
    <t>Laporan Posisi Keuangan'!C35='Laporan Perubahan Aset Bersih'!C21</t>
  </si>
  <si>
    <t>(Penurunan)/Kenaikan Aset yang dapat diatribusikan kepada pemegang Unit Penyertaan dari Operasi pada Laporan Laba Rugi harus sama dengan Jumlah (penurunan)/kenaikan aset bersih yang dapat diatribusikan kepada pemegang unit penyertaan dari operasi pada Laporan Perubahan Aset Bersih</t>
  </si>
  <si>
    <t>Laporan Laba Rugi'!B23='Laporan Perubahan Aset Bersih'!B14</t>
  </si>
  <si>
    <t>Laporan Laba Rugi'!C23='Laporan Perubahan Aset Bersih'!C14</t>
  </si>
  <si>
    <t>Jumlah kas dan setara kas akhir tahun pada Laporan Arus Kas harus sama dengan jumlah kas dan setara kas pada Laporan Arus Kas</t>
  </si>
  <si>
    <t>Laporan Arus Kas'!B26='Laporan Arus Kas'!B30</t>
  </si>
  <si>
    <t>Laporan Arus Kas'!C26='Laporan Arus Kas'!C30</t>
  </si>
  <si>
    <t>Data Umum</t>
  </si>
  <si>
    <t>Tanggal Pelaporan</t>
  </si>
  <si>
    <t>:</t>
  </si>
  <si>
    <t>Kode Reksa Dana</t>
  </si>
  <si>
    <t>Nama Reksa Dana</t>
  </si>
  <si>
    <t>REKSA DANA BNP PARIBAS OBLIGASI KEJORA</t>
  </si>
  <si>
    <t>Periode Pelaporan</t>
  </si>
  <si>
    <t>Bulan Pelaporan</t>
  </si>
  <si>
    <t>Tahun Pelaporan</t>
  </si>
  <si>
    <t>Nama Bank Kustodian</t>
  </si>
  <si>
    <t xml:space="preserve">Citibank, N.A., cabang Jakarta </t>
  </si>
  <si>
    <t>Data Audit</t>
  </si>
  <si>
    <t>Nama KAP</t>
  </si>
  <si>
    <t>Mirawati Sensi Idris</t>
  </si>
  <si>
    <t>Kode Auditor</t>
  </si>
  <si>
    <t>Nama AP</t>
  </si>
  <si>
    <t>Yelly Warsono</t>
  </si>
  <si>
    <t>Opini</t>
  </si>
  <si>
    <t xml:space="preserve">Wajar Tanpa Pengecualian </t>
  </si>
  <si>
    <t>LAPORAN POSISI KEUANGAN</t>
  </si>
  <si>
    <t>Jumlah (dalam rupiah)</t>
  </si>
  <si>
    <t>ASET</t>
  </si>
  <si>
    <t>Portofolio investasi</t>
  </si>
  <si>
    <t xml:space="preserve">       Efek Ekuitas</t>
  </si>
  <si>
    <t xml:space="preserve">       Efek Utang</t>
  </si>
  <si>
    <t xml:space="preserve">       Efek Syariah Berpendapatan Tetap</t>
  </si>
  <si>
    <t xml:space="preserve">       Efek Beragun Aset</t>
  </si>
  <si>
    <t xml:space="preserve">       Efek Pasar Uang</t>
  </si>
  <si>
    <t xml:space="preserve">       Unit Penyertaan Dana Investasi Real Estat</t>
  </si>
  <si>
    <t xml:space="preserve">       Efek Derivatif</t>
  </si>
  <si>
    <t xml:space="preserve">       Efek lain yang ditetapkan oleh Otoritas Jasa Keuangan</t>
  </si>
  <si>
    <t>Kas di bank</t>
  </si>
  <si>
    <t>Piutang penjualan efek</t>
  </si>
  <si>
    <t>Piutang bunga</t>
  </si>
  <si>
    <t>Piutang deviden</t>
  </si>
  <si>
    <t>Piutang Bagi Hasil</t>
  </si>
  <si>
    <t>Piutang Lain-lain</t>
  </si>
  <si>
    <t>Pajak dibayar dimuka</t>
  </si>
  <si>
    <t>Aset Lain-lain</t>
  </si>
  <si>
    <t>Jumlah Aset</t>
  </si>
  <si>
    <t>LIABILITAS</t>
  </si>
  <si>
    <t>Uang muka diterima atas pemesanan unit penyertaan</t>
  </si>
  <si>
    <t>Utang pembelian kembali unit penyertaan</t>
  </si>
  <si>
    <t>Utang pembelian efek</t>
  </si>
  <si>
    <t>Utang pajak</t>
  </si>
  <si>
    <t>Utang pajak lain-lain</t>
  </si>
  <si>
    <t>Utang lain-lain</t>
  </si>
  <si>
    <t>Jumlah Liabilitas</t>
  </si>
  <si>
    <t>Aset bersih yang dapat diatribusikan kepada pemegang unit penyertaan</t>
  </si>
  <si>
    <t>Jumlah Unit Penyertaan Beredar</t>
  </si>
  <si>
    <t>Nilai Aset Bersih per Unit Penyertaan</t>
  </si>
  <si>
    <t>LAPORAN LABA RUGI DAN PENGHASILAN KOMPREHENSIF LAIN</t>
  </si>
  <si>
    <t>PENDAPATAN INVESTASI</t>
  </si>
  <si>
    <t>Pendapatan bunga</t>
  </si>
  <si>
    <t>Pendapatan deviden</t>
  </si>
  <si>
    <t>Jumlah pendapatan investasi</t>
  </si>
  <si>
    <t>BEBAN INVESTASI</t>
  </si>
  <si>
    <t>Beban jasa pengelolaan investasi</t>
  </si>
  <si>
    <t>Beban jasa kustodian</t>
  </si>
  <si>
    <t>Beban lain-lain</t>
  </si>
  <si>
    <t>Jumlah beban investasi</t>
  </si>
  <si>
    <t>PENDAPATAN INVESTASI BERSIH</t>
  </si>
  <si>
    <t>(KERUGIAN)/KEUNTUNGAN INVESTASI</t>
  </si>
  <si>
    <t>(Kerugian)/Keuntungan investasi yang telah direalisasi</t>
  </si>
  <si>
    <t>(Kerugian)/Keuntungan investasi yang belum direalisasi</t>
  </si>
  <si>
    <t>Jumlah (Kerugian)/Keuntungan investasi</t>
  </si>
  <si>
    <t>(Penurunan)/Kenaikan Aset
         yang dapat diatribusikan kepada pemegang Unit Penyertaan
         dari Operasi Sebelum Beban Pajak Penghasilan</t>
  </si>
  <si>
    <t>Manfaat/(Beban) Pajak Penghasilan</t>
  </si>
  <si>
    <t>(Penurunan)/Kenaikan Aset
         yang dapat diatribusikan kepada pemegang Unit Penyertaan
         dari Operasi Setelah Beban Pajak Penghasilan</t>
  </si>
  <si>
    <t>Penghasilan komprehensif lain</t>
  </si>
  <si>
    <t>(Penurunan)/Kenaikan Aset 
         yang dapat diatribusikan kepada pemegang Unit Penyertaan 
         dari Operasi</t>
  </si>
  <si>
    <t xml:space="preserve">LAPORAN PERUBAHAN ASET BERSIH YANG DAPAT DIATRIBUSIKAN KEPADA PEMEGANG UNIT PENYERTAAN
</t>
  </si>
  <si>
    <t>Kenaikan/(Penurunan) aset bersih 
       yang dapat diatribusikan 
       kepada pemegang unit penyertaan
      dari operasi</t>
  </si>
  <si>
    <t xml:space="preserve">      Laba Operasi</t>
  </si>
  <si>
    <t xml:space="preserve">      Keuntungan/(Kerugian) investasi yang telah direalisasi</t>
  </si>
  <si>
    <t xml:space="preserve">      Keuntungan/(Kerugian) investasi yang belum direalisasi</t>
  </si>
  <si>
    <t xml:space="preserve">      Pajak Penghasilan</t>
  </si>
  <si>
    <t xml:space="preserve">      Pajak Komprehensif lain</t>
  </si>
  <si>
    <t>Jumlah Kenaikan/(Penurunan) aset bersih 
       yang dapat diatribusikan 
       kepada pemegang unit penyertaan
      dari operasi</t>
  </si>
  <si>
    <t>Transaksi dengan Pemegang Unit Penyertaan</t>
  </si>
  <si>
    <t xml:space="preserve">      Penjualan unit penyertaan</t>
  </si>
  <si>
    <t xml:space="preserve">      Pembelian kembali unit penyertaan</t>
  </si>
  <si>
    <t xml:space="preserve">      Pendapatan yang dapat didistribusikan</t>
  </si>
  <si>
    <t>Jumlah Transaksi dengan Pemegang Unit Penyertaan</t>
  </si>
  <si>
    <t>(Penurunan)/kenaikan aset bersih 
       yang dapat diatribusikan 
       kepada pemegang unit penyertaan</t>
  </si>
  <si>
    <t>Aset bersih yang dapat diatribusikan 
       kepada pemegang unit penyertaan
      di awal tahun</t>
  </si>
  <si>
    <t>Aset bersih yang dapat diatribusikan 
       kepada pemegang unit penyertaan
      di akhir tahun</t>
  </si>
  <si>
    <t>LAPORAN ARUS KAS</t>
  </si>
  <si>
    <t>Arus kas dari aktivitas operasi:</t>
  </si>
  <si>
    <t>Penerimaan kas dari:</t>
  </si>
  <si>
    <t xml:space="preserve">    Penjualan dan penerimaan dari penjualan aset keuangan</t>
  </si>
  <si>
    <t xml:space="preserve">    Pendapatan bunga</t>
  </si>
  <si>
    <t xml:space="preserve">    Pendapatan deviden</t>
  </si>
  <si>
    <t xml:space="preserve">    Penerimaan lain-lain</t>
  </si>
  <si>
    <t>Pengeluaran kas untuk:</t>
  </si>
  <si>
    <t xml:space="preserve">    Pembelian aset keuangan dan penyelesaian liabilitas keuangan</t>
  </si>
  <si>
    <t xml:space="preserve">    Beban investasi</t>
  </si>
  <si>
    <t xml:space="preserve">    Beban pajak</t>
  </si>
  <si>
    <t xml:space="preserve">    Beban lain-lain</t>
  </si>
  <si>
    <t>Kas bersih (digunakan untuk)/diterima dari aktivitas operasi</t>
  </si>
  <si>
    <t>Arus kas dari aktivitas pendanaan:</t>
  </si>
  <si>
    <t>Penjualan unit penyertaan</t>
  </si>
  <si>
    <t>Pembelian kembali unit penyertaan</t>
  </si>
  <si>
    <t>Pembayaran pendapatan yang dapat didistribusikan</t>
  </si>
  <si>
    <t>Penerimaan/(Pengeluaran) lain-lain terkait aktivitas pendanaan</t>
  </si>
  <si>
    <t>Kas bersih (digunakan untuk)/diterima dari aktivitas pendanaan</t>
  </si>
  <si>
    <t>Kenaikan/(Penurunan) bersih dalam kas dan setara kas</t>
  </si>
  <si>
    <t>Kas dan setara kas pada awal tahun</t>
  </si>
  <si>
    <t>Kas dan setara kas pada akhir tahun</t>
  </si>
  <si>
    <t>Kas dan setara kas terdiri dari:</t>
  </si>
  <si>
    <t xml:space="preserve">    Kas di bank</t>
  </si>
  <si>
    <t xml:space="preserve">    Deposito berjangka</t>
  </si>
  <si>
    <t>Jumlah kas dan setara 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</si>
</sst>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dd\-mmm\-yyyy"/>
    <numFmt numFmtId="166" formatCode="_-* #,##0_-;\-* #,##0_-;_-* &quot;-&quot;??_-;_-@_-"/>
    <numFmt numFmtId="167" formatCode="_-* #,##0.0000_-;\-* #,##0.0000_-;_-* &quot;-&quot;??_-;_-@_-"/>
  </numFmts>
  <fonts count="9">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9"/>
      <color indexed="81"/>
      <name val="Tahoma"/>
      <family val="2"/>
    </font>
    <font>
      <sz val="9"/>
      <color indexed="81"/>
      <name val="Tahoma"/>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lightGray">
        <bgColor theme="0" tint="-0.14996795556505021"/>
      </patternFill>
    </fill>
    <fill>
      <patternFill patternType="solid">
        <fgColor theme="8" tint="0.79998168889431442"/>
        <bgColor indexed="64"/>
      </patternFill>
    </fill>
  </fills>
  <borders count="2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96">
    <xf numFmtId="0" fontId="0" fillId="0" borderId="0" xfId="0"/>
    <xf numFmtId="0" fontId="0" fillId="2" borderId="0" xfId="0" applyFill="1"/>
    <xf numFmtId="0" fontId="0" fillId="0" borderId="0" xfId="0" applyProtection="1">
      <protection hidden="1"/>
    </xf>
    <xf numFmtId="0" fontId="0" fillId="0" borderId="7" xfId="0" applyBorder="1"/>
    <xf numFmtId="0" fontId="0" fillId="0" borderId="8" xfId="0" applyBorder="1"/>
    <xf numFmtId="164" fontId="0" fillId="0" borderId="10" xfId="1" applyFont="1" applyBorder="1"/>
    <xf numFmtId="164" fontId="0" fillId="0" borderId="11" xfId="1" applyFont="1" applyBorder="1"/>
    <xf numFmtId="164" fontId="0" fillId="0" borderId="10" xfId="1" applyFont="1" applyBorder="1" applyProtection="1">
      <protection locked="0"/>
    </xf>
    <xf numFmtId="164" fontId="0" fillId="0" borderId="11" xfId="1" applyFont="1" applyBorder="1" applyProtection="1">
      <protection locked="0"/>
    </xf>
    <xf numFmtId="164" fontId="2" fillId="3" borderId="10" xfId="1" applyFont="1" applyFill="1" applyBorder="1"/>
    <xf numFmtId="164" fontId="2" fillId="3" borderId="11" xfId="1" applyFont="1" applyFill="1" applyBorder="1"/>
    <xf numFmtId="0" fontId="0" fillId="0" borderId="16" xfId="0" applyBorder="1"/>
    <xf numFmtId="0" fontId="0" fillId="0" borderId="17" xfId="0" applyBorder="1"/>
    <xf numFmtId="0" fontId="2" fillId="0" borderId="0" xfId="0" applyFont="1" applyAlignment="1" applyProtection="1">
      <alignment horizontal="center"/>
      <protection hidden="1"/>
    </xf>
    <xf numFmtId="0" fontId="2" fillId="0" borderId="0" xfId="0" applyFont="1" applyProtection="1">
      <protection hidden="1"/>
    </xf>
    <xf numFmtId="164" fontId="0" fillId="0" borderId="19" xfId="1" applyFont="1" applyBorder="1" applyProtection="1">
      <protection locked="0"/>
    </xf>
    <xf numFmtId="164" fontId="0" fillId="3" borderId="10" xfId="1" applyFont="1" applyFill="1" applyBorder="1"/>
    <xf numFmtId="164" fontId="0" fillId="3" borderId="19" xfId="1" applyFont="1" applyFill="1" applyBorder="1"/>
    <xf numFmtId="164" fontId="0" fillId="0" borderId="19" xfId="1" applyFont="1" applyBorder="1"/>
    <xf numFmtId="0" fontId="0" fillId="2" borderId="0" xfId="0" applyFill="1" applyAlignment="1">
      <alignment horizontal="center"/>
    </xf>
    <xf numFmtId="0" fontId="0" fillId="4" borderId="0" xfId="0" applyFill="1"/>
    <xf numFmtId="0" fontId="4" fillId="4" borderId="0" xfId="0" applyFont="1" applyFill="1"/>
    <xf numFmtId="0" fontId="0" fillId="4" borderId="0" xfId="0" applyFill="1" applyProtection="1">
      <protection hidden="1"/>
    </xf>
    <xf numFmtId="0" fontId="2" fillId="4" borderId="3" xfId="0"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2" fillId="4" borderId="6" xfId="0" applyFont="1" applyFill="1" applyBorder="1"/>
    <xf numFmtId="0" fontId="0" fillId="4" borderId="9" xfId="0" applyFill="1" applyBorder="1"/>
    <xf numFmtId="0" fontId="2" fillId="4" borderId="9" xfId="0" applyFont="1" applyFill="1" applyBorder="1"/>
    <xf numFmtId="0" fontId="2" fillId="4" borderId="12" xfId="0" applyFont="1" applyFill="1" applyBorder="1"/>
    <xf numFmtId="0" fontId="2" fillId="4" borderId="15" xfId="0" applyFont="1" applyFill="1" applyBorder="1"/>
    <xf numFmtId="0" fontId="0" fillId="4" borderId="18" xfId="0" applyFill="1" applyBorder="1"/>
    <xf numFmtId="0" fontId="2" fillId="4" borderId="18" xfId="0" applyFont="1" applyFill="1" applyBorder="1"/>
    <xf numFmtId="0" fontId="2" fillId="4" borderId="18" xfId="0" applyFont="1" applyFill="1" applyBorder="1" applyAlignment="1">
      <alignment wrapText="1"/>
    </xf>
    <xf numFmtId="0" fontId="0" fillId="4" borderId="20" xfId="0" applyFill="1" applyBorder="1"/>
    <xf numFmtId="0" fontId="2" fillId="4" borderId="2" xfId="0" applyFont="1" applyFill="1" applyBorder="1" applyAlignment="1">
      <alignment wrapText="1"/>
    </xf>
    <xf numFmtId="164" fontId="0" fillId="3" borderId="23" xfId="1" applyFont="1" applyFill="1" applyBorder="1"/>
    <xf numFmtId="164" fontId="0" fillId="3" borderId="24" xfId="1" applyFont="1" applyFill="1" applyBorder="1"/>
    <xf numFmtId="164" fontId="2" fillId="3" borderId="19" xfId="1" applyFont="1" applyFill="1" applyBorder="1"/>
    <xf numFmtId="165" fontId="0" fillId="0" borderId="0" xfId="0" applyNumberFormat="1" applyProtection="1">
      <protection locked="0"/>
    </xf>
    <xf numFmtId="0" fontId="0" fillId="0" borderId="0" xfId="0" applyProtection="1">
      <protection locked="0"/>
    </xf>
    <xf numFmtId="0" fontId="0" fillId="4" borderId="0" xfId="0" quotePrefix="1" applyFill="1" applyAlignment="1">
      <alignment horizont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0" borderId="0" xfId="0" applyAlignment="1">
      <alignment horizontal="left" vertical="center"/>
    </xf>
    <xf numFmtId="167" fontId="2" fillId="3" borderId="13" xfId="1" applyNumberFormat="1" applyFont="1" applyFill="1" applyBorder="1"/>
    <xf numFmtId="167" fontId="2" fillId="3" borderId="14" xfId="1" applyNumberFormat="1" applyFont="1" applyFill="1" applyBorder="1"/>
    <xf numFmtId="164" fontId="0" fillId="0" borderId="0" xfId="1" applyFont="1"/>
    <xf numFmtId="164" fontId="0" fillId="0" borderId="0" xfId="0" applyNumberFormat="1"/>
    <xf numFmtId="0" fontId="0" fillId="0" borderId="0" xfId="0" quotePrefix="1"/>
    <xf numFmtId="164" fontId="0" fillId="0" borderId="25" xfId="1" applyFont="1" applyBorder="1" applyProtection="1">
      <protection locked="0"/>
    </xf>
    <xf numFmtId="164" fontId="0" fillId="0" borderId="26" xfId="1" applyFont="1" applyBorder="1" applyProtection="1">
      <protection locked="0"/>
    </xf>
    <xf numFmtId="0" fontId="7" fillId="4" borderId="3"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18" xfId="0" applyFont="1" applyFill="1" applyBorder="1"/>
    <xf numFmtId="166" fontId="8" fillId="0" borderId="10" xfId="1" applyNumberFormat="1" applyFont="1" applyBorder="1"/>
    <xf numFmtId="166" fontId="8" fillId="0" borderId="19" xfId="1" applyNumberFormat="1" applyFont="1" applyBorder="1"/>
    <xf numFmtId="0" fontId="8" fillId="4" borderId="18" xfId="0" applyFont="1" applyFill="1" applyBorder="1"/>
    <xf numFmtId="164" fontId="8" fillId="0" borderId="10" xfId="1" applyFont="1" applyBorder="1" applyProtection="1">
      <protection locked="0"/>
    </xf>
    <xf numFmtId="164" fontId="8" fillId="0" borderId="19" xfId="1" applyFont="1" applyBorder="1" applyProtection="1">
      <protection locked="0"/>
    </xf>
    <xf numFmtId="164" fontId="8" fillId="3" borderId="10" xfId="1" applyFont="1" applyFill="1" applyBorder="1"/>
    <xf numFmtId="164" fontId="8" fillId="3" borderId="19" xfId="1" applyFont="1" applyFill="1" applyBorder="1"/>
    <xf numFmtId="164" fontId="8" fillId="0" borderId="10" xfId="1" applyFont="1" applyBorder="1"/>
    <xf numFmtId="164" fontId="8" fillId="0" borderId="19" xfId="1" applyFont="1" applyBorder="1"/>
    <xf numFmtId="0" fontId="7" fillId="4" borderId="20" xfId="0" applyFont="1" applyFill="1" applyBorder="1"/>
    <xf numFmtId="164" fontId="8" fillId="3" borderId="21" xfId="1" applyFont="1" applyFill="1" applyBorder="1"/>
    <xf numFmtId="164" fontId="8" fillId="3" borderId="22" xfId="1" applyFont="1" applyFill="1" applyBorder="1"/>
    <xf numFmtId="0" fontId="7" fillId="4" borderId="15" xfId="0" applyFont="1" applyFill="1" applyBorder="1" applyAlignment="1">
      <alignment horizontal="left" vertical="top" wrapText="1"/>
    </xf>
    <xf numFmtId="166" fontId="8" fillId="0" borderId="16" xfId="1" applyNumberFormat="1" applyFont="1" applyBorder="1" applyAlignment="1">
      <alignment horizontal="left" vertical="top"/>
    </xf>
    <xf numFmtId="166" fontId="8" fillId="0" borderId="17" xfId="1" applyNumberFormat="1" applyFont="1" applyBorder="1" applyAlignment="1">
      <alignment horizontal="left" vertical="top"/>
    </xf>
    <xf numFmtId="0" fontId="8" fillId="4" borderId="18" xfId="0" applyFont="1" applyFill="1" applyBorder="1" applyAlignment="1">
      <alignment horizontal="left" vertical="top" wrapText="1"/>
    </xf>
    <xf numFmtId="164" fontId="8" fillId="0" borderId="10" xfId="1" applyFont="1" applyBorder="1" applyAlignment="1" applyProtection="1">
      <alignment horizontal="left" vertical="top"/>
      <protection locked="0"/>
    </xf>
    <xf numFmtId="164" fontId="8" fillId="0" borderId="19" xfId="1" applyFont="1" applyBorder="1" applyAlignment="1" applyProtection="1">
      <alignment horizontal="left" vertical="top"/>
      <protection locked="0"/>
    </xf>
    <xf numFmtId="164" fontId="8" fillId="3" borderId="10" xfId="1" applyFont="1" applyFill="1" applyBorder="1" applyAlignment="1">
      <alignment horizontal="left" vertical="top"/>
    </xf>
    <xf numFmtId="164" fontId="8" fillId="3" borderId="19" xfId="1" applyFont="1" applyFill="1" applyBorder="1" applyAlignment="1">
      <alignment horizontal="left" vertical="top"/>
    </xf>
    <xf numFmtId="164" fontId="8" fillId="0" borderId="10" xfId="1" applyFont="1" applyBorder="1" applyAlignment="1">
      <alignment horizontal="left" vertical="top"/>
    </xf>
    <xf numFmtId="164" fontId="8" fillId="0" borderId="19" xfId="1" applyFont="1" applyBorder="1" applyAlignment="1">
      <alignment horizontal="left" vertical="top"/>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164" fontId="8" fillId="3" borderId="21" xfId="1" applyFont="1" applyFill="1" applyBorder="1" applyAlignment="1">
      <alignment horizontal="left" vertical="top"/>
    </xf>
    <xf numFmtId="164" fontId="8" fillId="3" borderId="22" xfId="1" applyFont="1" applyFill="1" applyBorder="1" applyAlignment="1">
      <alignment horizontal="left" vertical="top"/>
    </xf>
    <xf numFmtId="0" fontId="7" fillId="4" borderId="18" xfId="0" applyFont="1" applyFill="1" applyBorder="1" applyAlignment="1">
      <alignment wrapText="1"/>
    </xf>
    <xf numFmtId="0" fontId="8" fillId="4" borderId="12" xfId="0" applyFont="1" applyFill="1" applyBorder="1"/>
    <xf numFmtId="164" fontId="0" fillId="3" borderId="10" xfId="1" applyFont="1" applyFill="1" applyBorder="1" applyProtection="1"/>
    <xf numFmtId="164" fontId="0" fillId="3" borderId="19" xfId="1" applyFont="1" applyFill="1" applyBorder="1" applyProtection="1"/>
    <xf numFmtId="164" fontId="8" fillId="3" borderId="10" xfId="1" applyFont="1" applyFill="1" applyBorder="1" applyProtection="1">
      <protection locked="0"/>
    </xf>
    <xf numFmtId="0" fontId="0" fillId="4" borderId="0" xfId="0" applyFill="1" applyAlignment="1">
      <alignment horizontal="left" vertical="center"/>
    </xf>
    <xf numFmtId="0" fontId="2" fillId="0" borderId="0" xfId="0" applyFont="1" applyAlignment="1">
      <alignment horizontal="center"/>
    </xf>
    <xf numFmtId="0" fontId="2" fillId="0" borderId="0" xfId="0" applyFont="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4" xfId="0" applyFont="1" applyFill="1" applyBorder="1" applyAlignment="1" applyProtection="1">
      <alignment horizontal="center"/>
      <protection hidden="1"/>
    </xf>
    <xf numFmtId="0" fontId="2" fillId="4" borderId="2" xfId="0" applyFont="1" applyFill="1" applyBorder="1" applyAlignment="1" applyProtection="1">
      <alignment horizontal="center"/>
      <protection hidden="1"/>
    </xf>
    <xf numFmtId="0" fontId="2" fillId="4" borderId="3" xfId="0" applyFont="1" applyFill="1" applyBorder="1" applyAlignment="1" applyProtection="1">
      <alignment horizontal="center"/>
      <protection hidden="1"/>
    </xf>
    <xf numFmtId="0" fontId="7" fillId="4" borderId="1" xfId="0" applyFont="1" applyFill="1" applyBorder="1" applyAlignment="1" applyProtection="1">
      <alignment horizontal="center"/>
      <protection hidden="1"/>
    </xf>
    <xf numFmtId="0" fontId="7" fillId="4" borderId="4"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workbookViewId="0">
      <selection activeCell="B24" sqref="B24"/>
    </sheetView>
  </sheetViews>
  <sheetFormatPr defaultRowHeight="14.45"/>
  <cols>
    <col min="1" max="1" width="5.85546875" customWidth="1"/>
    <col min="2" max="2" width="148.85546875" bestFit="1" customWidth="1"/>
  </cols>
  <sheetData>
    <row r="1" spans="1:2">
      <c r="A1" s="1" t="s">
        <v>0</v>
      </c>
      <c r="B1" s="1"/>
    </row>
    <row r="2" spans="1:2">
      <c r="A2" s="1"/>
      <c r="B2" s="1"/>
    </row>
    <row r="3" spans="1:2">
      <c r="A3" s="19">
        <v>1</v>
      </c>
      <c r="B3" s="1" t="s">
        <v>1</v>
      </c>
    </row>
    <row r="4" spans="1:2">
      <c r="A4" s="19">
        <v>2</v>
      </c>
      <c r="B4" s="1" t="s">
        <v>2</v>
      </c>
    </row>
    <row r="5" spans="1:2">
      <c r="A5" s="19">
        <v>3</v>
      </c>
      <c r="B5" s="1" t="s">
        <v>3</v>
      </c>
    </row>
    <row r="6" spans="1:2">
      <c r="A6" s="19">
        <v>4</v>
      </c>
      <c r="B6" s="1" t="s">
        <v>4</v>
      </c>
    </row>
    <row r="7" spans="1:2">
      <c r="A7" s="19">
        <v>5</v>
      </c>
      <c r="B7" s="1" t="s">
        <v>5</v>
      </c>
    </row>
    <row r="8" spans="1:2">
      <c r="A8" s="19">
        <v>6</v>
      </c>
      <c r="B8" s="1" t="s">
        <v>6</v>
      </c>
    </row>
    <row r="9" spans="1:2">
      <c r="A9" s="19">
        <v>7</v>
      </c>
      <c r="B9" s="1" t="s">
        <v>7</v>
      </c>
    </row>
    <row r="10" spans="1:2">
      <c r="A10" s="19">
        <v>8</v>
      </c>
      <c r="B10" s="1" t="s">
        <v>8</v>
      </c>
    </row>
    <row r="11" spans="1:2">
      <c r="A11" s="19">
        <v>9</v>
      </c>
      <c r="B11" s="1" t="s">
        <v>9</v>
      </c>
    </row>
    <row r="12" spans="1:2">
      <c r="A12" s="19">
        <v>10</v>
      </c>
      <c r="B12" s="1" t="s">
        <v>10</v>
      </c>
    </row>
    <row r="13" spans="1:2">
      <c r="A13" s="19">
        <v>11</v>
      </c>
      <c r="B13" s="1" t="s">
        <v>11</v>
      </c>
    </row>
  </sheetData>
  <sheetProtection algorithmName="SHA-512" hashValue="X6jccDA7zDB0yzpLwCyuZknWgBaVlHqnDD3ZUVyQ3Gqzybkfcwf94LmKuRKhHXw8DyNsJqdp6W5Evj8FbDrNcA==" saltValue="7MD9HFtxuzxFU+GZuWUdlw=="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showGridLines="0" workbookViewId="0">
      <selection activeCell="D6" sqref="D6"/>
    </sheetView>
  </sheetViews>
  <sheetFormatPr defaultColWidth="34.7109375" defaultRowHeight="14.45"/>
  <cols>
    <col min="1" max="1" width="4.7109375" customWidth="1"/>
    <col min="2" max="2" width="120.140625" customWidth="1"/>
    <col min="3" max="3" width="0" hidden="1" customWidth="1"/>
    <col min="4" max="4" width="6.42578125" bestFit="1" customWidth="1"/>
  </cols>
  <sheetData>
    <row r="1" spans="1:5">
      <c r="A1" s="85" t="s">
        <v>12</v>
      </c>
      <c r="B1" s="85"/>
      <c r="C1" s="20"/>
      <c r="D1" s="40" t="str">
        <f>+IF(AND(D4="OK",D5="OK",D6="OK",D7="OK",D8="OK",D9="OK"),"OK","NOT OK")</f>
        <v>OK</v>
      </c>
    </row>
    <row r="2" spans="1:5">
      <c r="B2" s="43"/>
    </row>
    <row r="3" spans="1:5">
      <c r="A3" s="41" t="s">
        <v>13</v>
      </c>
      <c r="B3" s="41" t="s">
        <v>14</v>
      </c>
      <c r="C3" s="41" t="s">
        <v>15</v>
      </c>
      <c r="D3" s="41" t="s">
        <v>16</v>
      </c>
    </row>
    <row r="4" spans="1:5" ht="28.9">
      <c r="A4" s="41">
        <v>1</v>
      </c>
      <c r="B4" s="42" t="s">
        <v>17</v>
      </c>
      <c r="C4" s="42" t="s">
        <v>18</v>
      </c>
      <c r="D4" s="41" t="str">
        <f>IF(AND(('Laporan Posisi Keuangan'!B36-'Laporan Perubahan Aset Bersih'!B23)&lt;=3,('Laporan Posisi Keuangan'!B36-'Laporan Perubahan Aset Bersih'!B23)&gt;=-3),"OK","Not OK")</f>
        <v>OK</v>
      </c>
      <c r="E4" s="48"/>
    </row>
    <row r="5" spans="1:5" ht="28.9">
      <c r="A5" s="41">
        <v>2</v>
      </c>
      <c r="B5" s="42" t="s">
        <v>17</v>
      </c>
      <c r="C5" s="42" t="s">
        <v>19</v>
      </c>
      <c r="D5" s="41" t="str">
        <f>IF(AND(('Laporan Posisi Keuangan'!C36-'Laporan Perubahan Aset Bersih'!C23)&lt;=3,('Laporan Posisi Keuangan'!C36-'Laporan Perubahan Aset Bersih'!C23)&gt;=-3),"OK","Not OK")</f>
        <v>OK</v>
      </c>
      <c r="E5" s="48"/>
    </row>
    <row r="6" spans="1:5" ht="43.15">
      <c r="A6" s="41">
        <v>3</v>
      </c>
      <c r="B6" s="42" t="s">
        <v>20</v>
      </c>
      <c r="C6" s="42" t="s">
        <v>21</v>
      </c>
      <c r="D6" s="41" t="str">
        <f>IF(AND(('Laporan Laba Rugi'!B27-'Laporan Perubahan Aset Bersih'!B15)&lt;=3,('Laporan Laba Rugi'!B27-'Laporan Perubahan Aset Bersih'!B15)&gt;=-3),"OK","Not OK")</f>
        <v>OK</v>
      </c>
      <c r="E6" s="48"/>
    </row>
    <row r="7" spans="1:5" ht="43.15">
      <c r="A7" s="41">
        <v>4</v>
      </c>
      <c r="B7" s="42" t="s">
        <v>20</v>
      </c>
      <c r="C7" s="42" t="s">
        <v>22</v>
      </c>
      <c r="D7" s="41" t="str">
        <f>IF(AND(('Laporan Laba Rugi'!C27-'Laporan Perubahan Aset Bersih'!C15)&lt;=3,('Laporan Laba Rugi'!C27-'Laporan Perubahan Aset Bersih'!C15)&gt;=-3),"OK","Not OK")</f>
        <v>OK</v>
      </c>
      <c r="E7" s="48"/>
    </row>
    <row r="8" spans="1:5" ht="28.9">
      <c r="A8" s="41">
        <v>5</v>
      </c>
      <c r="B8" s="42" t="s">
        <v>23</v>
      </c>
      <c r="C8" s="42" t="s">
        <v>24</v>
      </c>
      <c r="D8" s="41" t="str">
        <f>IF(AND(('Laporan Arus Kas'!B29-'Laporan Arus Kas'!B33)&lt;=3,('Laporan Arus Kas'!B29-'Laporan Arus Kas'!B33)&gt;=-3),"OK","Not OK")</f>
        <v>OK</v>
      </c>
    </row>
    <row r="9" spans="1:5" ht="28.9">
      <c r="A9" s="41">
        <v>6</v>
      </c>
      <c r="B9" s="42" t="s">
        <v>23</v>
      </c>
      <c r="C9" s="42" t="s">
        <v>25</v>
      </c>
      <c r="D9" s="41" t="str">
        <f>IF(AND(('Laporan Arus Kas'!C29-'Laporan Arus Kas'!C33)&lt;=3,('Laporan Arus Kas'!C29-'Laporan Arus Kas'!C33)&gt;=-3),"OK","Not OK")</f>
        <v>OK</v>
      </c>
    </row>
  </sheetData>
  <sheetProtection password="9C63"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tabSelected="1" workbookViewId="0">
      <selection activeCell="C7" sqref="C7"/>
    </sheetView>
  </sheetViews>
  <sheetFormatPr defaultColWidth="9.140625" defaultRowHeight="14.45"/>
  <cols>
    <col min="1" max="1" width="22.7109375" style="39" bestFit="1" customWidth="1"/>
    <col min="2" max="2" width="1.5703125" style="39" bestFit="1" customWidth="1"/>
    <col min="3" max="3" width="76.5703125" style="39" customWidth="1"/>
    <col min="4" max="16384" width="9.140625" style="39"/>
  </cols>
  <sheetData>
    <row r="1" spans="1:3" ht="21">
      <c r="A1" s="21" t="s">
        <v>26</v>
      </c>
      <c r="B1" s="20"/>
      <c r="C1" s="20"/>
    </row>
    <row r="2" spans="1:3">
      <c r="A2"/>
      <c r="B2"/>
      <c r="C2"/>
    </row>
    <row r="3" spans="1:3">
      <c r="A3" s="20" t="s">
        <v>27</v>
      </c>
      <c r="B3" s="20" t="s">
        <v>28</v>
      </c>
      <c r="C3" s="38"/>
    </row>
    <row r="4" spans="1:3">
      <c r="A4" s="20" t="s">
        <v>29</v>
      </c>
      <c r="B4" s="20" t="s">
        <v>28</v>
      </c>
    </row>
    <row r="5" spans="1:3">
      <c r="A5" s="20" t="s">
        <v>30</v>
      </c>
      <c r="B5" s="20" t="s">
        <v>28</v>
      </c>
      <c r="C5" s="39" t="s">
        <v>31</v>
      </c>
    </row>
    <row r="6" spans="1:3">
      <c r="A6" s="20" t="s">
        <v>32</v>
      </c>
      <c r="B6" s="20" t="s">
        <v>28</v>
      </c>
      <c r="C6" s="38">
        <v>46022</v>
      </c>
    </row>
    <row r="7" spans="1:3">
      <c r="A7" s="20" t="s">
        <v>33</v>
      </c>
      <c r="B7" s="20" t="s">
        <v>28</v>
      </c>
      <c r="C7" s="22">
        <f>+MONTH(C6)</f>
        <v>12</v>
      </c>
    </row>
    <row r="8" spans="1:3">
      <c r="A8" s="20" t="s">
        <v>34</v>
      </c>
      <c r="B8" s="20" t="s">
        <v>28</v>
      </c>
      <c r="C8" s="22">
        <f>YEAR(C6)</f>
        <v>2025</v>
      </c>
    </row>
    <row r="9" spans="1:3">
      <c r="A9" s="20" t="s">
        <v>35</v>
      </c>
      <c r="B9" s="20" t="s">
        <v>28</v>
      </c>
      <c r="C9" s="39" t="s">
        <v>36</v>
      </c>
    </row>
    <row r="10" spans="1:3">
      <c r="A10"/>
      <c r="B10"/>
      <c r="C10"/>
    </row>
    <row r="11" spans="1:3">
      <c r="A11"/>
      <c r="B11"/>
      <c r="C11"/>
    </row>
    <row r="12" spans="1:3" ht="21">
      <c r="A12" s="21" t="s">
        <v>37</v>
      </c>
      <c r="B12" s="20"/>
      <c r="C12" s="20"/>
    </row>
    <row r="13" spans="1:3">
      <c r="A13"/>
      <c r="B13"/>
      <c r="C13"/>
    </row>
    <row r="14" spans="1:3">
      <c r="A14" s="20" t="s">
        <v>38</v>
      </c>
      <c r="B14" s="20" t="s">
        <v>28</v>
      </c>
      <c r="C14" s="39" t="s">
        <v>39</v>
      </c>
    </row>
    <row r="15" spans="1:3">
      <c r="A15" s="20" t="s">
        <v>40</v>
      </c>
      <c r="B15" s="20" t="s">
        <v>28</v>
      </c>
      <c r="C15">
        <v>0</v>
      </c>
    </row>
    <row r="16" spans="1:3">
      <c r="A16" s="20" t="s">
        <v>41</v>
      </c>
      <c r="B16" s="20" t="s">
        <v>28</v>
      </c>
      <c r="C16" s="39" t="s">
        <v>42</v>
      </c>
    </row>
    <row r="17" spans="1:3">
      <c r="A17" s="20" t="s">
        <v>43</v>
      </c>
      <c r="B17" s="20" t="s">
        <v>28</v>
      </c>
      <c r="C17" s="39" t="s">
        <v>44</v>
      </c>
    </row>
  </sheetData>
  <sheetProtection password="9C63" sheet="1" objects="1" scenarios="1"/>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38"/>
  <sheetViews>
    <sheetView showGridLines="0" zoomScale="85" zoomScaleNormal="85" workbookViewId="0">
      <pane xSplit="1" ySplit="8" topLeftCell="B17" activePane="bottomRight" state="frozen"/>
      <selection pane="bottomRight" activeCell="B37" sqref="B37"/>
      <selection pane="bottomLeft" activeCell="A9" sqref="A9"/>
      <selection pane="topRight" activeCell="B1" sqref="B1"/>
    </sheetView>
  </sheetViews>
  <sheetFormatPr defaultRowHeight="14.45"/>
  <cols>
    <col min="1" max="1" width="66" bestFit="1" customWidth="1"/>
    <col min="2" max="3" width="30.7109375" customWidth="1"/>
  </cols>
  <sheetData>
    <row r="3" spans="1:3">
      <c r="A3" s="86" t="s">
        <v>45</v>
      </c>
      <c r="B3" s="86"/>
      <c r="C3" s="86"/>
    </row>
    <row r="4" spans="1:3">
      <c r="A4" s="87" t="str">
        <f>'Data Umum'!C5</f>
        <v>REKSA DANA BNP PARIBAS OBLIGASI KEJORA</v>
      </c>
      <c r="B4" s="87"/>
      <c r="C4" s="87"/>
    </row>
    <row r="5" spans="1:3">
      <c r="A5" s="87" t="str">
        <f>"UNTUK TAHUN-TAHUN YANG BERAKHIR PADA"&amp;" "&amp;'Data Umum'!C8&amp;" "&amp;"DAN"&amp;" "&amp;'Data Umum'!C8-1</f>
        <v>UNTUK TAHUN-TAHUN YANG BERAKHIR PADA 2025 DAN 2024</v>
      </c>
      <c r="B5" s="87"/>
      <c r="C5" s="87"/>
    </row>
    <row r="6" spans="1:3">
      <c r="A6" s="14"/>
      <c r="B6" s="14"/>
      <c r="C6" s="14"/>
    </row>
    <row r="7" spans="1:3">
      <c r="A7" s="88"/>
      <c r="B7" s="90" t="s">
        <v>46</v>
      </c>
      <c r="C7" s="91"/>
    </row>
    <row r="8" spans="1:3">
      <c r="A8" s="89"/>
      <c r="B8" s="23">
        <f>'Data Umum'!C8</f>
        <v>2025</v>
      </c>
      <c r="C8" s="24">
        <f>'Data Umum'!C8-1</f>
        <v>2024</v>
      </c>
    </row>
    <row r="9" spans="1:3">
      <c r="A9" s="25" t="s">
        <v>47</v>
      </c>
      <c r="B9" s="3"/>
      <c r="C9" s="4"/>
    </row>
    <row r="10" spans="1:3">
      <c r="A10" s="26" t="s">
        <v>48</v>
      </c>
      <c r="B10" s="5"/>
      <c r="C10" s="6"/>
    </row>
    <row r="11" spans="1:3">
      <c r="A11" s="26" t="s">
        <v>49</v>
      </c>
      <c r="B11" s="7"/>
      <c r="C11" s="8">
        <v>0</v>
      </c>
    </row>
    <row r="12" spans="1:3">
      <c r="A12" s="26" t="s">
        <v>50</v>
      </c>
      <c r="B12" s="7">
        <v>5246426348108</v>
      </c>
      <c r="C12" s="15">
        <v>4757439820214</v>
      </c>
    </row>
    <row r="13" spans="1:3">
      <c r="A13" s="26" t="s">
        <v>51</v>
      </c>
      <c r="B13" s="7">
        <v>447135778723</v>
      </c>
      <c r="C13" s="15">
        <v>228823361667</v>
      </c>
    </row>
    <row r="14" spans="1:3">
      <c r="A14" s="26" t="s">
        <v>52</v>
      </c>
      <c r="B14" s="7"/>
      <c r="C14" s="15">
        <v>0</v>
      </c>
    </row>
    <row r="15" spans="1:3">
      <c r="A15" s="26" t="s">
        <v>53</v>
      </c>
      <c r="B15" s="7">
        <v>222000000000</v>
      </c>
      <c r="C15" s="15">
        <v>67000000000</v>
      </c>
    </row>
    <row r="16" spans="1:3">
      <c r="A16" s="26" t="s">
        <v>54</v>
      </c>
      <c r="B16" s="7"/>
      <c r="C16" s="15">
        <v>0</v>
      </c>
    </row>
    <row r="17" spans="1:3">
      <c r="A17" s="26" t="s">
        <v>55</v>
      </c>
      <c r="B17" s="7"/>
      <c r="C17" s="15">
        <v>0</v>
      </c>
    </row>
    <row r="18" spans="1:3">
      <c r="A18" s="26" t="s">
        <v>56</v>
      </c>
      <c r="B18" s="7"/>
      <c r="C18" s="15">
        <v>0</v>
      </c>
    </row>
    <row r="19" spans="1:3">
      <c r="A19" s="26" t="s">
        <v>57</v>
      </c>
      <c r="B19" s="7">
        <v>547251214</v>
      </c>
      <c r="C19" s="15">
        <v>95539586</v>
      </c>
    </row>
    <row r="20" spans="1:3">
      <c r="A20" s="26" t="s">
        <v>58</v>
      </c>
      <c r="B20" s="7"/>
      <c r="C20" s="15">
        <v>0</v>
      </c>
    </row>
    <row r="21" spans="1:3">
      <c r="A21" s="26" t="s">
        <v>59</v>
      </c>
      <c r="B21" s="7">
        <v>72052666497</v>
      </c>
      <c r="C21" s="15">
        <v>67345635945</v>
      </c>
    </row>
    <row r="22" spans="1:3">
      <c r="A22" s="26" t="s">
        <v>60</v>
      </c>
      <c r="B22" s="7"/>
      <c r="C22" s="8">
        <v>0</v>
      </c>
    </row>
    <row r="23" spans="1:3">
      <c r="A23" s="26" t="s">
        <v>61</v>
      </c>
      <c r="B23" s="7">
        <v>6715972313</v>
      </c>
      <c r="C23" s="8">
        <v>1582597314</v>
      </c>
    </row>
    <row r="24" spans="1:3">
      <c r="A24" s="26" t="s">
        <v>62</v>
      </c>
      <c r="B24" s="7"/>
      <c r="C24" s="8">
        <v>0</v>
      </c>
    </row>
    <row r="25" spans="1:3">
      <c r="A25" s="26" t="s">
        <v>63</v>
      </c>
      <c r="B25" s="7"/>
      <c r="C25" s="8">
        <v>0</v>
      </c>
    </row>
    <row r="26" spans="1:3">
      <c r="A26" s="26" t="s">
        <v>64</v>
      </c>
      <c r="B26" s="7"/>
      <c r="C26" s="8">
        <v>0</v>
      </c>
    </row>
    <row r="27" spans="1:3">
      <c r="A27" s="26" t="s">
        <v>65</v>
      </c>
      <c r="B27" s="9">
        <f>SUM(B11:B26)</f>
        <v>5994878016855</v>
      </c>
      <c r="C27" s="37">
        <f>SUM(C11:C26)</f>
        <v>5122286954726</v>
      </c>
    </row>
    <row r="28" spans="1:3">
      <c r="A28" s="27" t="s">
        <v>66</v>
      </c>
      <c r="B28" s="5"/>
      <c r="C28" s="6"/>
    </row>
    <row r="29" spans="1:3">
      <c r="A29" s="26" t="s">
        <v>67</v>
      </c>
      <c r="B29" s="7"/>
      <c r="C29" s="8">
        <v>0</v>
      </c>
    </row>
    <row r="30" spans="1:3">
      <c r="A30" s="26" t="s">
        <v>68</v>
      </c>
      <c r="B30" s="7"/>
      <c r="C30" s="8">
        <v>0</v>
      </c>
    </row>
    <row r="31" spans="1:3">
      <c r="A31" s="26" t="s">
        <v>69</v>
      </c>
      <c r="B31" s="7"/>
      <c r="C31" s="15">
        <v>0</v>
      </c>
    </row>
    <row r="32" spans="1:3">
      <c r="A32" s="26" t="s">
        <v>70</v>
      </c>
      <c r="B32" s="7"/>
      <c r="C32" s="8">
        <v>0</v>
      </c>
    </row>
    <row r="33" spans="1:3">
      <c r="A33" s="26" t="s">
        <v>71</v>
      </c>
      <c r="B33" s="7"/>
      <c r="C33" s="8">
        <v>0</v>
      </c>
    </row>
    <row r="34" spans="1:3">
      <c r="A34" s="26" t="s">
        <v>72</v>
      </c>
      <c r="B34" s="7">
        <v>19503040155</v>
      </c>
      <c r="C34" s="8">
        <v>1320856842</v>
      </c>
    </row>
    <row r="35" spans="1:3">
      <c r="A35" s="26" t="s">
        <v>73</v>
      </c>
      <c r="B35" s="9">
        <f>SUM(B29:B34)</f>
        <v>19503040155</v>
      </c>
      <c r="C35" s="10">
        <f>SUM(C29:C34)</f>
        <v>1320856842</v>
      </c>
    </row>
    <row r="36" spans="1:3">
      <c r="A36" s="27" t="s">
        <v>74</v>
      </c>
      <c r="B36" s="9">
        <f>+B27-B35</f>
        <v>5975374976700</v>
      </c>
      <c r="C36" s="10">
        <f>+C27-C35</f>
        <v>5120966097884</v>
      </c>
    </row>
    <row r="37" spans="1:3">
      <c r="A37" s="27" t="s">
        <v>75</v>
      </c>
      <c r="B37" s="7">
        <v>5504244269.6125002</v>
      </c>
      <c r="C37" s="15">
        <v>5049010754.3282003</v>
      </c>
    </row>
    <row r="38" spans="1:3">
      <c r="A38" s="28" t="s">
        <v>76</v>
      </c>
      <c r="B38" s="44">
        <f>IF(B37&gt;0,B36/B37,0)</f>
        <v>1085.5940768632834</v>
      </c>
      <c r="C38" s="45">
        <f>+IF(C37&gt;0,C36/C37,0)</f>
        <v>1014.2513745874114</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7"/>
  <sheetViews>
    <sheetView showGridLines="0" topLeftCell="A13" workbookViewId="0">
      <selection activeCell="B25" sqref="B25"/>
    </sheetView>
  </sheetViews>
  <sheetFormatPr defaultRowHeight="14.45"/>
  <cols>
    <col min="1" max="1" width="63" customWidth="1"/>
    <col min="2" max="3" width="30.7109375" customWidth="1"/>
  </cols>
  <sheetData>
    <row r="3" spans="1:3">
      <c r="A3" s="86" t="s">
        <v>77</v>
      </c>
      <c r="B3" s="86"/>
      <c r="C3" s="86"/>
    </row>
    <row r="4" spans="1:3">
      <c r="A4" s="87" t="str">
        <f>'Data Umum'!C5</f>
        <v>REKSA DANA BNP PARIBAS OBLIGASI KEJORA</v>
      </c>
      <c r="B4" s="87"/>
      <c r="C4" s="87"/>
    </row>
    <row r="5" spans="1:3">
      <c r="A5" s="87" t="str">
        <f>"UNTUK TAHUN-TAHUN YANG BERAKHIR PADA"&amp;" "&amp;'Data Umum'!C8&amp;" "&amp;"DAN"&amp;" "&amp;'Data Umum'!C8-1</f>
        <v>UNTUK TAHUN-TAHUN YANG BERAKHIR PADA 2025 DAN 2024</v>
      </c>
      <c r="B5" s="87"/>
      <c r="C5" s="87"/>
    </row>
    <row r="6" spans="1:3">
      <c r="A6" s="13"/>
      <c r="B6" s="13"/>
      <c r="C6" s="13"/>
    </row>
    <row r="7" spans="1:3">
      <c r="A7" s="88"/>
      <c r="B7" s="90" t="s">
        <v>46</v>
      </c>
      <c r="C7" s="91"/>
    </row>
    <row r="8" spans="1:3">
      <c r="A8" s="89"/>
      <c r="B8" s="23">
        <f>'Data Umum'!C8</f>
        <v>2025</v>
      </c>
      <c r="C8" s="24">
        <f>'Data Umum'!C8-1</f>
        <v>2024</v>
      </c>
    </row>
    <row r="9" spans="1:3">
      <c r="A9" s="29" t="s">
        <v>78</v>
      </c>
      <c r="B9" s="11"/>
      <c r="C9" s="12"/>
    </row>
    <row r="10" spans="1:3">
      <c r="A10" s="30" t="s">
        <v>79</v>
      </c>
      <c r="B10" s="7">
        <v>393552768105</v>
      </c>
      <c r="C10" s="15">
        <v>333327039441</v>
      </c>
    </row>
    <row r="11" spans="1:3">
      <c r="A11" s="30" t="s">
        <v>80</v>
      </c>
      <c r="B11" s="7"/>
      <c r="C11" s="8">
        <v>0</v>
      </c>
    </row>
    <row r="12" spans="1:3">
      <c r="A12" s="30" t="s">
        <v>81</v>
      </c>
      <c r="B12" s="16">
        <f>SUM(B10:B11)</f>
        <v>393552768105</v>
      </c>
      <c r="C12" s="17">
        <f>SUM(C10:C11)</f>
        <v>333327039441</v>
      </c>
    </row>
    <row r="13" spans="1:3">
      <c r="A13" s="31" t="s">
        <v>82</v>
      </c>
      <c r="B13" s="5"/>
      <c r="C13" s="18"/>
    </row>
    <row r="14" spans="1:3">
      <c r="A14" s="30" t="s">
        <v>83</v>
      </c>
      <c r="B14" s="7">
        <v>9174774040</v>
      </c>
      <c r="C14" s="15">
        <v>7540933887</v>
      </c>
    </row>
    <row r="15" spans="1:3">
      <c r="A15" s="30" t="s">
        <v>84</v>
      </c>
      <c r="B15" s="7">
        <v>5504864424</v>
      </c>
      <c r="C15" s="15">
        <v>4524560332</v>
      </c>
    </row>
    <row r="16" spans="1:3">
      <c r="A16" s="30" t="s">
        <v>85</v>
      </c>
      <c r="B16" s="7">
        <v>40373658310</v>
      </c>
      <c r="C16" s="15">
        <v>34504126299</v>
      </c>
    </row>
    <row r="17" spans="1:3">
      <c r="A17" s="30" t="s">
        <v>86</v>
      </c>
      <c r="B17" s="16">
        <f>SUM(B14:B16)</f>
        <v>55053296774</v>
      </c>
      <c r="C17" s="17">
        <f>SUM(C14:C16)</f>
        <v>46569620518</v>
      </c>
    </row>
    <row r="18" spans="1:3">
      <c r="A18" s="31" t="s">
        <v>87</v>
      </c>
      <c r="B18" s="16">
        <f>+B12-B17</f>
        <v>338499471331</v>
      </c>
      <c r="C18" s="17">
        <f>+C12-C17</f>
        <v>286757418923</v>
      </c>
    </row>
    <row r="19" spans="1:3">
      <c r="A19" s="30" t="s">
        <v>88</v>
      </c>
      <c r="B19" s="7"/>
      <c r="C19" s="15"/>
    </row>
    <row r="20" spans="1:3">
      <c r="A20" s="30" t="s">
        <v>89</v>
      </c>
      <c r="B20" s="7">
        <v>-10846750398</v>
      </c>
      <c r="C20" s="15">
        <v>-13478943904</v>
      </c>
    </row>
    <row r="21" spans="1:3">
      <c r="A21" s="30" t="s">
        <v>90</v>
      </c>
      <c r="B21" s="7">
        <v>288199235373</v>
      </c>
      <c r="C21" s="15">
        <v>-119355022488</v>
      </c>
    </row>
    <row r="22" spans="1:3">
      <c r="A22" s="31" t="s">
        <v>91</v>
      </c>
      <c r="B22" s="16">
        <f>SUM(B20:B21)</f>
        <v>277352484975</v>
      </c>
      <c r="C22" s="17">
        <f>SUM(C20:C21)</f>
        <v>-132833966392</v>
      </c>
    </row>
    <row r="23" spans="1:3" ht="43.15">
      <c r="A23" s="32" t="s">
        <v>92</v>
      </c>
      <c r="B23" s="16">
        <f>+B18+B22</f>
        <v>615851956306</v>
      </c>
      <c r="C23" s="17">
        <f>+C18+C22</f>
        <v>153923452531</v>
      </c>
    </row>
    <row r="24" spans="1:3">
      <c r="A24" s="33" t="s">
        <v>93</v>
      </c>
      <c r="B24" s="7">
        <v>-17965657631</v>
      </c>
      <c r="C24" s="15">
        <v>2707711111</v>
      </c>
    </row>
    <row r="25" spans="1:3" ht="43.15">
      <c r="A25" s="80" t="s">
        <v>94</v>
      </c>
      <c r="B25" s="82">
        <f>+B23+B24</f>
        <v>597886298675</v>
      </c>
      <c r="C25" s="83">
        <f>+C23+C24</f>
        <v>156631163642</v>
      </c>
    </row>
    <row r="26" spans="1:3">
      <c r="A26" s="81" t="s">
        <v>95</v>
      </c>
      <c r="B26" s="49">
        <v>0</v>
      </c>
      <c r="C26" s="50">
        <v>0</v>
      </c>
    </row>
    <row r="27" spans="1:3" ht="43.15">
      <c r="A27" s="34" t="s">
        <v>96</v>
      </c>
      <c r="B27" s="35">
        <f>+B25+B26</f>
        <v>597886298675</v>
      </c>
      <c r="C27" s="36">
        <f>+C25+C26</f>
        <v>156631163642</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3"/>
  <sheetViews>
    <sheetView showGridLines="0" topLeftCell="A15" workbookViewId="0">
      <selection activeCell="B14" sqref="B14"/>
    </sheetView>
  </sheetViews>
  <sheetFormatPr defaultRowHeight="14.45"/>
  <cols>
    <col min="1" max="1" width="64.5703125" customWidth="1"/>
    <col min="2" max="3" width="30.7109375" customWidth="1"/>
  </cols>
  <sheetData>
    <row r="3" spans="1:3">
      <c r="A3" s="86" t="s">
        <v>97</v>
      </c>
      <c r="B3" s="86"/>
      <c r="C3" s="86"/>
    </row>
    <row r="4" spans="1:3">
      <c r="A4" s="87" t="str">
        <f>'Data Umum'!C5</f>
        <v>REKSA DANA BNP PARIBAS OBLIGASI KEJORA</v>
      </c>
      <c r="B4" s="87"/>
      <c r="C4" s="87"/>
    </row>
    <row r="5" spans="1:3">
      <c r="A5" s="87" t="str">
        <f>"UNTUK TAHUN-TAHUN YANG BERAKHIR PADA"&amp;" "&amp;'Data Umum'!C8&amp;" "&amp;"DAN"&amp;" "&amp;'Data Umum'!C8-1</f>
        <v>UNTUK TAHUN-TAHUN YANG BERAKHIR PADA 2025 DAN 2024</v>
      </c>
      <c r="B5" s="87"/>
      <c r="C5" s="87"/>
    </row>
    <row r="6" spans="1:3">
      <c r="A6" s="14"/>
      <c r="B6" s="14"/>
      <c r="C6" s="14"/>
    </row>
    <row r="7" spans="1:3">
      <c r="A7" s="92"/>
      <c r="B7" s="94" t="s">
        <v>46</v>
      </c>
      <c r="C7" s="95"/>
    </row>
    <row r="8" spans="1:3">
      <c r="A8" s="93"/>
      <c r="B8" s="51">
        <f>'Data Umum'!C8</f>
        <v>2025</v>
      </c>
      <c r="C8" s="52">
        <f>'Data Umum'!C8-1</f>
        <v>2024</v>
      </c>
    </row>
    <row r="9" spans="1:3" ht="57.6">
      <c r="A9" s="66" t="s">
        <v>98</v>
      </c>
      <c r="B9" s="67"/>
      <c r="C9" s="68"/>
    </row>
    <row r="10" spans="1:3">
      <c r="A10" s="69" t="s">
        <v>99</v>
      </c>
      <c r="B10" s="57">
        <v>338499471331</v>
      </c>
      <c r="C10" s="58">
        <v>286757418923</v>
      </c>
    </row>
    <row r="11" spans="1:3" ht="18" customHeight="1">
      <c r="A11" s="69" t="s">
        <v>100</v>
      </c>
      <c r="B11" s="57">
        <v>-10846750398</v>
      </c>
      <c r="C11" s="58">
        <v>-13478943904</v>
      </c>
    </row>
    <row r="12" spans="1:3" ht="15" customHeight="1">
      <c r="A12" s="69" t="s">
        <v>101</v>
      </c>
      <c r="B12" s="57">
        <v>288199235373</v>
      </c>
      <c r="C12" s="58">
        <v>-119355022488</v>
      </c>
    </row>
    <row r="13" spans="1:3">
      <c r="A13" s="69" t="s">
        <v>102</v>
      </c>
      <c r="B13" s="57">
        <v>-17965657631</v>
      </c>
      <c r="C13" s="58">
        <v>2707711111</v>
      </c>
    </row>
    <row r="14" spans="1:3">
      <c r="A14" s="69" t="s">
        <v>103</v>
      </c>
      <c r="B14" s="70"/>
      <c r="C14" s="71"/>
    </row>
    <row r="15" spans="1:3" ht="57.6">
      <c r="A15" s="69" t="s">
        <v>104</v>
      </c>
      <c r="B15" s="72">
        <f>SUM(B10:B14)</f>
        <v>597886298675</v>
      </c>
      <c r="C15" s="73">
        <f>SUM(C10:C14)</f>
        <v>156631163642</v>
      </c>
    </row>
    <row r="16" spans="1:3">
      <c r="A16" s="53" t="s">
        <v>105</v>
      </c>
      <c r="B16" s="74"/>
      <c r="C16" s="75"/>
    </row>
    <row r="17" spans="1:3">
      <c r="A17" s="56" t="s">
        <v>106</v>
      </c>
      <c r="B17" s="57">
        <v>517000000000</v>
      </c>
      <c r="C17" s="58">
        <v>1452500000000</v>
      </c>
    </row>
    <row r="18" spans="1:3">
      <c r="A18" s="56" t="s">
        <v>107</v>
      </c>
      <c r="B18" s="57">
        <v>-32500000000</v>
      </c>
      <c r="C18" s="58">
        <v>-263500000000</v>
      </c>
    </row>
    <row r="19" spans="1:3">
      <c r="A19" s="56" t="s">
        <v>108</v>
      </c>
      <c r="B19" s="57">
        <v>-227977419859</v>
      </c>
      <c r="C19" s="58">
        <v>-212940298987</v>
      </c>
    </row>
    <row r="20" spans="1:3">
      <c r="A20" s="56" t="s">
        <v>109</v>
      </c>
      <c r="B20" s="72">
        <f>SUM(B17:B19)</f>
        <v>256522580141</v>
      </c>
      <c r="C20" s="72">
        <f>SUM(C17:C19)</f>
        <v>976059701013</v>
      </c>
    </row>
    <row r="21" spans="1:3" ht="43.15">
      <c r="A21" s="76" t="s">
        <v>110</v>
      </c>
      <c r="B21" s="72">
        <f>B15+B20</f>
        <v>854408878816</v>
      </c>
      <c r="C21" s="73">
        <f>C15+C20</f>
        <v>1132690864655</v>
      </c>
    </row>
    <row r="22" spans="1:3" ht="43.15">
      <c r="A22" s="76" t="s">
        <v>111</v>
      </c>
      <c r="B22" s="57">
        <f>C23</f>
        <v>5120966097884</v>
      </c>
      <c r="C22" s="58">
        <v>3988275233229</v>
      </c>
    </row>
    <row r="23" spans="1:3" ht="43.15">
      <c r="A23" s="77" t="s">
        <v>112</v>
      </c>
      <c r="B23" s="78">
        <f>B21+B22</f>
        <v>5975374976700</v>
      </c>
      <c r="C23" s="79">
        <f>C21+C22</f>
        <v>5120966097884</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36"/>
  <sheetViews>
    <sheetView showGridLines="0" topLeftCell="A17" zoomScale="130" zoomScaleNormal="130" workbookViewId="0">
      <selection activeCell="B28" sqref="B28"/>
    </sheetView>
  </sheetViews>
  <sheetFormatPr defaultRowHeight="14.45"/>
  <cols>
    <col min="1" max="1" width="60.140625" bestFit="1" customWidth="1"/>
    <col min="2" max="3" width="30.7109375" customWidth="1"/>
  </cols>
  <sheetData>
    <row r="3" spans="1:3">
      <c r="A3" s="86" t="s">
        <v>113</v>
      </c>
      <c r="B3" s="86"/>
      <c r="C3" s="86"/>
    </row>
    <row r="4" spans="1:3">
      <c r="A4" s="87" t="str">
        <f>'Data Umum'!C5</f>
        <v>REKSA DANA BNP PARIBAS OBLIGASI KEJORA</v>
      </c>
      <c r="B4" s="87"/>
      <c r="C4" s="87"/>
    </row>
    <row r="5" spans="1:3">
      <c r="A5" s="87" t="str">
        <f>"UNTUK TAHUN-TAHUN YANG BERAKHIR PADA"&amp;" "&amp;'Data Umum'!C8&amp;" "&amp;"DAN"&amp;" "&amp;'Data Umum'!C8-1</f>
        <v>UNTUK TAHUN-TAHUN YANG BERAKHIR PADA 2025 DAN 2024</v>
      </c>
      <c r="B5" s="87"/>
      <c r="C5" s="87"/>
    </row>
    <row r="6" spans="1:3">
      <c r="A6" s="2"/>
      <c r="B6" s="2"/>
      <c r="C6" s="2"/>
    </row>
    <row r="7" spans="1:3">
      <c r="A7" s="92"/>
      <c r="B7" s="94" t="s">
        <v>46</v>
      </c>
      <c r="C7" s="95"/>
    </row>
    <row r="8" spans="1:3">
      <c r="A8" s="93"/>
      <c r="B8" s="51">
        <f>+'Data Umum'!C8</f>
        <v>2025</v>
      </c>
      <c r="C8" s="52">
        <f>+'Data Umum'!C8-1</f>
        <v>2024</v>
      </c>
    </row>
    <row r="9" spans="1:3">
      <c r="A9" s="53" t="s">
        <v>114</v>
      </c>
      <c r="B9" s="54"/>
      <c r="C9" s="55"/>
    </row>
    <row r="10" spans="1:3">
      <c r="A10" s="56" t="s">
        <v>115</v>
      </c>
      <c r="B10" s="57"/>
      <c r="C10" s="58"/>
    </row>
    <row r="11" spans="1:3">
      <c r="A11" s="56" t="s">
        <v>116</v>
      </c>
      <c r="B11" s="57">
        <v>344263680000</v>
      </c>
      <c r="C11" s="58">
        <v>684116675000</v>
      </c>
    </row>
    <row r="12" spans="1:3">
      <c r="A12" s="56" t="s">
        <v>117</v>
      </c>
      <c r="B12" s="57">
        <v>343656678973</v>
      </c>
      <c r="C12" s="58">
        <v>276293850734</v>
      </c>
    </row>
    <row r="13" spans="1:3">
      <c r="A13" s="56" t="s">
        <v>118</v>
      </c>
      <c r="B13" s="57"/>
      <c r="C13" s="58">
        <v>0</v>
      </c>
    </row>
    <row r="14" spans="1:3">
      <c r="A14" s="56" t="s">
        <v>119</v>
      </c>
      <c r="B14" s="57"/>
      <c r="C14" s="58">
        <v>0</v>
      </c>
    </row>
    <row r="15" spans="1:3">
      <c r="A15" s="56" t="s">
        <v>120</v>
      </c>
      <c r="B15" s="57"/>
      <c r="C15" s="58"/>
    </row>
    <row r="16" spans="1:3">
      <c r="A16" s="56" t="s">
        <v>121</v>
      </c>
      <c r="B16" s="57">
        <v>-929230959975</v>
      </c>
      <c r="C16" s="58">
        <v>-1925256359500</v>
      </c>
    </row>
    <row r="17" spans="1:3">
      <c r="A17" s="56" t="s">
        <v>122</v>
      </c>
      <c r="B17" s="57">
        <v>-14760267511</v>
      </c>
      <c r="C17" s="58">
        <v>-12023391120</v>
      </c>
    </row>
    <row r="18" spans="1:3">
      <c r="A18" s="56" t="s">
        <v>123</v>
      </c>
      <c r="B18" s="57"/>
      <c r="C18" s="58">
        <v>0</v>
      </c>
    </row>
    <row r="19" spans="1:3">
      <c r="A19" s="56" t="s">
        <v>124</v>
      </c>
      <c r="B19" s="57"/>
      <c r="C19" s="58">
        <v>0</v>
      </c>
    </row>
    <row r="20" spans="1:3">
      <c r="A20" s="56" t="s">
        <v>125</v>
      </c>
      <c r="B20" s="59">
        <f>SUM(B11:B14)+SUM(B16:B19)</f>
        <v>-256070868513</v>
      </c>
      <c r="C20" s="60">
        <f>SUM(C11:C14)+SUM(C16:C19)</f>
        <v>-976869224886</v>
      </c>
    </row>
    <row r="21" spans="1:3">
      <c r="A21" s="53" t="s">
        <v>126</v>
      </c>
      <c r="B21" s="61"/>
      <c r="C21" s="62"/>
    </row>
    <row r="22" spans="1:3">
      <c r="A22" s="56" t="s">
        <v>127</v>
      </c>
      <c r="B22" s="57">
        <v>517000000000</v>
      </c>
      <c r="C22" s="58">
        <v>1452500000000</v>
      </c>
    </row>
    <row r="23" spans="1:3">
      <c r="A23" s="56" t="s">
        <v>128</v>
      </c>
      <c r="B23" s="57">
        <v>-32500000000</v>
      </c>
      <c r="C23" s="58">
        <v>-263500000000</v>
      </c>
    </row>
    <row r="24" spans="1:3">
      <c r="A24" s="56" t="s">
        <v>129</v>
      </c>
      <c r="B24" s="57">
        <v>-227977419859</v>
      </c>
      <c r="C24" s="58">
        <v>-212940298987</v>
      </c>
    </row>
    <row r="25" spans="1:3">
      <c r="A25" s="56" t="s">
        <v>130</v>
      </c>
      <c r="B25" s="57"/>
      <c r="C25" s="58">
        <v>0</v>
      </c>
    </row>
    <row r="26" spans="1:3">
      <c r="A26" s="56" t="s">
        <v>131</v>
      </c>
      <c r="B26" s="59">
        <f>SUM(B22:B25)</f>
        <v>256522580141</v>
      </c>
      <c r="C26" s="60">
        <f>SUM(C22:C25)</f>
        <v>976059701013</v>
      </c>
    </row>
    <row r="27" spans="1:3">
      <c r="A27" s="53" t="s">
        <v>132</v>
      </c>
      <c r="B27" s="59">
        <f>B20+B26</f>
        <v>451711628</v>
      </c>
      <c r="C27" s="60">
        <f>C20+C26</f>
        <v>-809523873</v>
      </c>
    </row>
    <row r="28" spans="1:3">
      <c r="A28" s="53" t="s">
        <v>133</v>
      </c>
      <c r="B28" s="57">
        <v>95539586</v>
      </c>
      <c r="C28" s="58">
        <v>905063459</v>
      </c>
    </row>
    <row r="29" spans="1:3">
      <c r="A29" s="53" t="s">
        <v>134</v>
      </c>
      <c r="B29" s="59">
        <f>B27+B28</f>
        <v>547251214</v>
      </c>
      <c r="C29" s="60">
        <f>C27+C28</f>
        <v>95539586</v>
      </c>
    </row>
    <row r="30" spans="1:3">
      <c r="A30" s="53" t="s">
        <v>135</v>
      </c>
      <c r="B30" s="61"/>
      <c r="C30" s="62"/>
    </row>
    <row r="31" spans="1:3">
      <c r="A31" s="56" t="s">
        <v>136</v>
      </c>
      <c r="B31" s="84">
        <f>B29+B30</f>
        <v>547251214</v>
      </c>
      <c r="C31" s="58">
        <f>C29+C30</f>
        <v>95539586</v>
      </c>
    </row>
    <row r="32" spans="1:3">
      <c r="A32" s="56" t="s">
        <v>137</v>
      </c>
      <c r="B32" s="57">
        <v>0</v>
      </c>
      <c r="C32" s="58">
        <v>0</v>
      </c>
    </row>
    <row r="33" spans="1:3">
      <c r="A33" s="63" t="s">
        <v>138</v>
      </c>
      <c r="B33" s="64">
        <f>SUM(B31:B32)</f>
        <v>547251214</v>
      </c>
      <c r="C33" s="65">
        <f>SUM(C31:C32)</f>
        <v>95539586</v>
      </c>
    </row>
    <row r="35" spans="1:3">
      <c r="B35" s="46"/>
      <c r="C35" s="46"/>
    </row>
    <row r="36" spans="1:3">
      <c r="B36" s="47"/>
      <c r="C36" s="47"/>
    </row>
  </sheetData>
  <sheetProtection password="9C63" sheet="1" objects="1" scenarios="1"/>
  <mergeCells count="5">
    <mergeCell ref="A3:C3"/>
    <mergeCell ref="A4:C4"/>
    <mergeCell ref="A5:C5"/>
    <mergeCell ref="A7:A8"/>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Dwi Isnaini</dc:creator>
  <cp:keywords/>
  <dc:description/>
  <cp:lastModifiedBy>Guest User</cp:lastModifiedBy>
  <cp:revision/>
  <dcterms:created xsi:type="dcterms:W3CDTF">2017-03-10T07:28:04Z</dcterms:created>
  <dcterms:modified xsi:type="dcterms:W3CDTF">2026-08-05T08:43:35Z</dcterms:modified>
  <cp:category/>
  <cp:contentStatus/>
</cp:coreProperties>
</file>